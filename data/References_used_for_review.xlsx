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ponchon\Nextcloud\Aurore\Projects\Prospecting review\Prospecting-review-analysis\data\"/>
    </mc:Choice>
  </mc:AlternateContent>
  <xr:revisionPtr revIDLastSave="0" documentId="13_ncr:1_{25E06AC5-CA48-4DD2-BAD0-9DE0F2D7722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upp_1" sheetId="4" r:id="rId1"/>
    <sheet name="Factors_adressed" sheetId="5" r:id="rId2"/>
  </sheets>
  <definedNames>
    <definedName name="_xlnm._FilterDatabase" localSheetId="1" hidden="1">Factors_adressed!$A$1:$X$125</definedName>
    <definedName name="_xlnm._FilterDatabase" localSheetId="0" hidden="1">Supp_1!$A$1:$X$125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R3" i="5" l="1"/>
  <c r="R4" i="5"/>
  <c r="R5" i="5"/>
  <c r="R6" i="5"/>
  <c r="R7" i="5"/>
  <c r="R8" i="5"/>
  <c r="R9" i="5"/>
  <c r="R10" i="5"/>
  <c r="R11" i="5"/>
  <c r="R12" i="5"/>
  <c r="R13" i="5"/>
  <c r="R14" i="5"/>
  <c r="R15" i="5"/>
  <c r="R16" i="5"/>
  <c r="R17" i="5"/>
  <c r="R18" i="5"/>
  <c r="R19" i="5"/>
  <c r="R20" i="5"/>
  <c r="R21" i="5"/>
  <c r="R22" i="5"/>
  <c r="R23" i="5"/>
  <c r="R24" i="5"/>
  <c r="R25" i="5"/>
  <c r="R26" i="5"/>
  <c r="R27" i="5"/>
  <c r="R28" i="5"/>
  <c r="R29" i="5"/>
  <c r="R30" i="5"/>
  <c r="R31" i="5"/>
  <c r="R32" i="5"/>
  <c r="R33" i="5"/>
  <c r="R34" i="5"/>
  <c r="R35" i="5"/>
  <c r="R36" i="5"/>
  <c r="R37" i="5"/>
  <c r="R38" i="5"/>
  <c r="R39" i="5"/>
  <c r="R40" i="5"/>
  <c r="R41" i="5"/>
  <c r="R42" i="5"/>
  <c r="R43" i="5"/>
  <c r="R44" i="5"/>
  <c r="R45" i="5"/>
  <c r="R46" i="5"/>
  <c r="R47" i="5"/>
  <c r="R48" i="5"/>
  <c r="R49" i="5"/>
  <c r="R50" i="5"/>
  <c r="R51" i="5"/>
  <c r="R52" i="5"/>
  <c r="R53" i="5"/>
  <c r="R54" i="5"/>
  <c r="R55" i="5"/>
  <c r="R56" i="5"/>
  <c r="R57" i="5"/>
  <c r="R58" i="5"/>
  <c r="R59" i="5"/>
  <c r="R60" i="5"/>
  <c r="R61" i="5"/>
  <c r="R62" i="5"/>
  <c r="R63" i="5"/>
  <c r="R64" i="5"/>
  <c r="R65" i="5"/>
  <c r="R66" i="5"/>
  <c r="R67" i="5"/>
  <c r="R68" i="5"/>
  <c r="R69" i="5"/>
  <c r="R70" i="5"/>
  <c r="R71" i="5"/>
  <c r="R72" i="5"/>
  <c r="R73" i="5"/>
  <c r="R74" i="5"/>
  <c r="R75" i="5"/>
  <c r="R76" i="5"/>
  <c r="R77" i="5"/>
  <c r="R78" i="5"/>
  <c r="R79" i="5"/>
  <c r="R80" i="5"/>
  <c r="R81" i="5"/>
  <c r="R82" i="5"/>
  <c r="R83" i="5"/>
  <c r="R84" i="5"/>
  <c r="R85" i="5"/>
  <c r="R86" i="5"/>
  <c r="R87" i="5"/>
  <c r="R88" i="5"/>
  <c r="R89" i="5"/>
  <c r="R90" i="5"/>
  <c r="R91" i="5"/>
  <c r="R92" i="5"/>
  <c r="R93" i="5"/>
  <c r="R94" i="5"/>
  <c r="R95" i="5"/>
  <c r="R96" i="5"/>
  <c r="R97" i="5"/>
  <c r="R98" i="5"/>
  <c r="R99" i="5"/>
  <c r="R100" i="5"/>
  <c r="R101" i="5"/>
  <c r="R102" i="5"/>
  <c r="R103" i="5"/>
  <c r="R104" i="5"/>
  <c r="R105" i="5"/>
  <c r="R106" i="5"/>
  <c r="R107" i="5"/>
  <c r="R108" i="5"/>
  <c r="R109" i="5"/>
  <c r="R110" i="5"/>
  <c r="R111" i="5"/>
  <c r="R112" i="5"/>
  <c r="R113" i="5"/>
  <c r="R114" i="5"/>
  <c r="R115" i="5"/>
  <c r="R116" i="5"/>
  <c r="R117" i="5"/>
  <c r="R118" i="5"/>
  <c r="R119" i="5"/>
  <c r="R120" i="5"/>
  <c r="R121" i="5"/>
  <c r="R122" i="5"/>
  <c r="R123" i="5"/>
  <c r="R124" i="5"/>
  <c r="R2" i="5"/>
  <c r="I127" i="5"/>
  <c r="H127" i="5"/>
  <c r="J127" i="5"/>
  <c r="U127" i="5"/>
  <c r="K127" i="5"/>
  <c r="L127" i="5"/>
  <c r="O127" i="5"/>
  <c r="Q127" i="5"/>
  <c r="N127" i="5"/>
  <c r="M127" i="5"/>
  <c r="P127" i="5"/>
  <c r="T127" i="5"/>
  <c r="R127" i="5"/>
  <c r="R125" i="5"/>
</calcChain>
</file>

<file path=xl/sharedStrings.xml><?xml version="1.0" encoding="utf-8"?>
<sst xmlns="http://schemas.openxmlformats.org/spreadsheetml/2006/main" count="2813" uniqueCount="748">
  <si>
    <t>Species</t>
  </si>
  <si>
    <t>Method</t>
  </si>
  <si>
    <t>Ponchon</t>
  </si>
  <si>
    <t>Year</t>
  </si>
  <si>
    <t>Tracking</t>
  </si>
  <si>
    <t>Black-legged kittiwake</t>
  </si>
  <si>
    <t>Nb</t>
  </si>
  <si>
    <t>Region</t>
  </si>
  <si>
    <t>Norway</t>
  </si>
  <si>
    <t>Y</t>
  </si>
  <si>
    <t>GPS</t>
  </si>
  <si>
    <t>FB</t>
  </si>
  <si>
    <t>Ward</t>
  </si>
  <si>
    <t>Dittmann</t>
  </si>
  <si>
    <t>Rissa tridactyla</t>
  </si>
  <si>
    <t>France</t>
  </si>
  <si>
    <t>Suspected FB</t>
  </si>
  <si>
    <t>passerine</t>
  </si>
  <si>
    <t>Sweden</t>
  </si>
  <si>
    <t>GPS-UHF</t>
  </si>
  <si>
    <t>VHF</t>
  </si>
  <si>
    <t>N</t>
  </si>
  <si>
    <t>NA</t>
  </si>
  <si>
    <t>Cooper</t>
  </si>
  <si>
    <t>Xanthocephalus xanthocephalus</t>
  </si>
  <si>
    <t>Migratory</t>
  </si>
  <si>
    <t>Sociality</t>
  </si>
  <si>
    <t>colonial</t>
  </si>
  <si>
    <t>territorial</t>
  </si>
  <si>
    <t>ringing</t>
  </si>
  <si>
    <t>seabird</t>
  </si>
  <si>
    <t>Ficedulla albicolis</t>
  </si>
  <si>
    <t>Peron</t>
  </si>
  <si>
    <t>Cory's shearwater</t>
  </si>
  <si>
    <t>Votier</t>
  </si>
  <si>
    <t>Northern gannet</t>
  </si>
  <si>
    <t>Campioni</t>
  </si>
  <si>
    <t>Fijn</t>
  </si>
  <si>
    <t>Oro</t>
  </si>
  <si>
    <t>Black-browed albatross</t>
  </si>
  <si>
    <t>Thalassarche melanophris</t>
  </si>
  <si>
    <t>Doligez</t>
  </si>
  <si>
    <t>Journal</t>
  </si>
  <si>
    <t>JEMBE</t>
  </si>
  <si>
    <t>ICB</t>
  </si>
  <si>
    <t>Mar Biol</t>
  </si>
  <si>
    <t>Anim Behav</t>
  </si>
  <si>
    <t>MEE</t>
  </si>
  <si>
    <t>PlosOne</t>
  </si>
  <si>
    <t>Bird Study</t>
  </si>
  <si>
    <t>Oecologia</t>
  </si>
  <si>
    <t>Sterna hirundo</t>
  </si>
  <si>
    <t>Common tern</t>
  </si>
  <si>
    <t>RFID</t>
  </si>
  <si>
    <t>Germany</t>
  </si>
  <si>
    <t>Immatures (1-5yo)</t>
  </si>
  <si>
    <t>Doerr</t>
  </si>
  <si>
    <t>Climacteris picumnus - Cormobates leucophaeus</t>
  </si>
  <si>
    <t>Brown treecreeper - white-throated treecreepers</t>
  </si>
  <si>
    <t>?</t>
  </si>
  <si>
    <t>Fledglings</t>
  </si>
  <si>
    <t>Boulinier</t>
  </si>
  <si>
    <t>Sandwick tern</t>
  </si>
  <si>
    <t>Thalasseus sandvicensis</t>
  </si>
  <si>
    <t>Calabuig</t>
  </si>
  <si>
    <t>Netherlands</t>
  </si>
  <si>
    <t>Curr Biol</t>
  </si>
  <si>
    <t>Kirtkand's warbler</t>
  </si>
  <si>
    <t>Setophaga kirtlandii</t>
  </si>
  <si>
    <t>Calonectris diomedea</t>
  </si>
  <si>
    <t>PTT</t>
  </si>
  <si>
    <t>Ecology</t>
  </si>
  <si>
    <t>Tamiasciurus hudsonicus</t>
  </si>
  <si>
    <t>North American red squirrel</t>
  </si>
  <si>
    <t>mammal</t>
  </si>
  <si>
    <t>Schuett</t>
  </si>
  <si>
    <t>Behav Ecol Sociol</t>
  </si>
  <si>
    <t>Corvus monedula</t>
  </si>
  <si>
    <t>social</t>
  </si>
  <si>
    <t>Finland</t>
  </si>
  <si>
    <t>breeding adults</t>
  </si>
  <si>
    <t>Pohnpei Micronesian Kingfisher</t>
  </si>
  <si>
    <t>Todiramphus cinnamominus reichenbachii</t>
  </si>
  <si>
    <t>The Auk</t>
  </si>
  <si>
    <t>Kesler</t>
  </si>
  <si>
    <t>Costa Rica</t>
  </si>
  <si>
    <t>Micronesia</t>
  </si>
  <si>
    <t>Brown Jay</t>
  </si>
  <si>
    <t>Hale</t>
  </si>
  <si>
    <t>Cyanocorax morio</t>
  </si>
  <si>
    <t>females, males, phipatric or immigrants</t>
  </si>
  <si>
    <t>Audouin's gull</t>
  </si>
  <si>
    <t>Martinović</t>
  </si>
  <si>
    <t>Croatia</t>
  </si>
  <si>
    <t>Schjorring</t>
  </si>
  <si>
    <t>Juveniles</t>
  </si>
  <si>
    <t>Ibis</t>
  </si>
  <si>
    <t>Selonen</t>
  </si>
  <si>
    <t>Behav Ecol</t>
  </si>
  <si>
    <t>Siberian flying squirrel</t>
  </si>
  <si>
    <t>Pteromys volans</t>
  </si>
  <si>
    <t>Jour Anim Ecol</t>
  </si>
  <si>
    <t>Haughland</t>
  </si>
  <si>
    <t xml:space="preserve">Roper </t>
  </si>
  <si>
    <t>Mammal review</t>
  </si>
  <si>
    <t>Eurasian badger</t>
  </si>
  <si>
    <t>Meles meles</t>
  </si>
  <si>
    <t>Vangen</t>
  </si>
  <si>
    <t>Canad Jour Zool</t>
  </si>
  <si>
    <t>Wolverine</t>
  </si>
  <si>
    <t>Gulo gulo</t>
  </si>
  <si>
    <t>Conradt</t>
  </si>
  <si>
    <t>insect</t>
  </si>
  <si>
    <t>Fasciolo</t>
  </si>
  <si>
    <t>Eagle owl</t>
  </si>
  <si>
    <t>Bubo bubo</t>
  </si>
  <si>
    <t>raptor</t>
  </si>
  <si>
    <t>Mabry</t>
  </si>
  <si>
    <t>Am Nat</t>
  </si>
  <si>
    <t>Brush mouse</t>
  </si>
  <si>
    <t>Peromyscus boylii</t>
  </si>
  <si>
    <t>Dale</t>
  </si>
  <si>
    <t>Ecography</t>
  </si>
  <si>
    <t>Ortolan bunting</t>
  </si>
  <si>
    <t>Emberiza hortulana</t>
  </si>
  <si>
    <t>Young</t>
  </si>
  <si>
    <t>Mares</t>
  </si>
  <si>
    <t>only males</t>
  </si>
  <si>
    <t>UK</t>
  </si>
  <si>
    <t>Spain</t>
  </si>
  <si>
    <t>Juvenile</t>
  </si>
  <si>
    <t>Great cormorant</t>
  </si>
  <si>
    <t>Lesser kestrel</t>
  </si>
  <si>
    <t>Picoides borealis</t>
  </si>
  <si>
    <t>Meadow brown butterfly</t>
  </si>
  <si>
    <t>Maniola jurtina</t>
  </si>
  <si>
    <t>direct observations</t>
  </si>
  <si>
    <t>non-territorial</t>
  </si>
  <si>
    <t>Study</t>
  </si>
  <si>
    <t>Experimental</t>
  </si>
  <si>
    <t>Observational</t>
  </si>
  <si>
    <t>Falco naumanni</t>
  </si>
  <si>
    <t>Larus audouinii</t>
  </si>
  <si>
    <t>adults</t>
  </si>
  <si>
    <t>Collared flycatcher</t>
  </si>
  <si>
    <t>Science</t>
  </si>
  <si>
    <t>Ottosson</t>
  </si>
  <si>
    <t>Pied flycatcher</t>
  </si>
  <si>
    <t>Ficedulla hypoleuca</t>
  </si>
  <si>
    <t>Phalacrocorax carbo</t>
  </si>
  <si>
    <t>Denmark</t>
  </si>
  <si>
    <t>Part</t>
  </si>
  <si>
    <t>Bruinzeel</t>
  </si>
  <si>
    <t>Bradley</t>
  </si>
  <si>
    <t>Short-tailed shearwater</t>
  </si>
  <si>
    <t>Puffinus tenuirostris</t>
  </si>
  <si>
    <t>Australia</t>
  </si>
  <si>
    <t>juveniles</t>
  </si>
  <si>
    <t>failed breeders</t>
  </si>
  <si>
    <t>Tobler</t>
  </si>
  <si>
    <t>European starling</t>
  </si>
  <si>
    <t>Piper</t>
  </si>
  <si>
    <t>Common loon</t>
  </si>
  <si>
    <t>van der Jeudg</t>
  </si>
  <si>
    <t>Barnacle goose</t>
  </si>
  <si>
    <t>Branta leucopsis</t>
  </si>
  <si>
    <t>Northern wheatear</t>
  </si>
  <si>
    <t>Arlt</t>
  </si>
  <si>
    <t>Biol Lett</t>
  </si>
  <si>
    <t>Zangmeister</t>
  </si>
  <si>
    <t>Jour Field Ornith</t>
  </si>
  <si>
    <t>Leach's storm-petrel</t>
  </si>
  <si>
    <t>Oceanodroma leucorhoa</t>
  </si>
  <si>
    <t>Canada</t>
  </si>
  <si>
    <t>Strix occidentalis occidentalis</t>
  </si>
  <si>
    <t>Seeley</t>
  </si>
  <si>
    <t>Apis mellifera</t>
  </si>
  <si>
    <t>Rémy</t>
  </si>
  <si>
    <t>Root vole</t>
  </si>
  <si>
    <t>Microtus oeconomus</t>
  </si>
  <si>
    <t>other bird</t>
  </si>
  <si>
    <t>Morus bassanus</t>
  </si>
  <si>
    <t>2-4 years</t>
  </si>
  <si>
    <t>Oystercatcher</t>
  </si>
  <si>
    <t>Haematopus ostralegus</t>
  </si>
  <si>
    <t>shorebird</t>
  </si>
  <si>
    <t>Floaters</t>
  </si>
  <si>
    <t>Jour Mammal</t>
  </si>
  <si>
    <t>Suricata suricatta</t>
  </si>
  <si>
    <t>cooperative</t>
  </si>
  <si>
    <t>South Africa</t>
  </si>
  <si>
    <t>Subordinate males</t>
  </si>
  <si>
    <t>EPC</t>
  </si>
  <si>
    <t>Kingma</t>
  </si>
  <si>
    <t>Evolution</t>
  </si>
  <si>
    <t>Seychelles warbler</t>
  </si>
  <si>
    <t>Acrocephalus sechellensis</t>
  </si>
  <si>
    <t>Ecol &amp; Evol</t>
  </si>
  <si>
    <t>Davis</t>
  </si>
  <si>
    <t>Piping plover</t>
  </si>
  <si>
    <t>Charadrius melodus</t>
  </si>
  <si>
    <t>Casazza</t>
  </si>
  <si>
    <t>Ducks</t>
  </si>
  <si>
    <t>Anas platyrhynchos - Mareca strepera - Spatula cyanoptera</t>
  </si>
  <si>
    <t>Cox</t>
  </si>
  <si>
    <t>Red-bellied woodpecker</t>
  </si>
  <si>
    <t>Melanerpes carolinus</t>
  </si>
  <si>
    <t>Scardamaglia</t>
  </si>
  <si>
    <t>GPS-GSM</t>
  </si>
  <si>
    <t>Successful females</t>
  </si>
  <si>
    <t>Falklands</t>
  </si>
  <si>
    <t>Teichroeb</t>
  </si>
  <si>
    <t>Behaviour</t>
  </si>
  <si>
    <t>Colobus vellerosus</t>
  </si>
  <si>
    <t>Ghana</t>
  </si>
  <si>
    <t>Ursine colobus monkey</t>
  </si>
  <si>
    <t>Naturwissenschaften</t>
  </si>
  <si>
    <t>Sicotte</t>
  </si>
  <si>
    <t>Colobus monkey</t>
  </si>
  <si>
    <t>semi-colonial</t>
  </si>
  <si>
    <t>Jackdaw</t>
  </si>
  <si>
    <t>Gavia immer</t>
  </si>
  <si>
    <t>Amrhein</t>
  </si>
  <si>
    <t>Nightingale</t>
  </si>
  <si>
    <t>Luscinia megarhynchos</t>
  </si>
  <si>
    <t>Shiny cowbird/Screaming cowbird</t>
  </si>
  <si>
    <t>Molothrus bonariensis/Molothrus rufoaxillaris</t>
  </si>
  <si>
    <t>Poysa</t>
  </si>
  <si>
    <t>Common goldeneye</t>
  </si>
  <si>
    <t>Bucephala clangula</t>
  </si>
  <si>
    <t>waterfowl</t>
  </si>
  <si>
    <t>parasitic</t>
  </si>
  <si>
    <t>Argentina</t>
  </si>
  <si>
    <t>females</t>
  </si>
  <si>
    <t>Honza</t>
  </si>
  <si>
    <t>Cuculus canorus</t>
  </si>
  <si>
    <t>Armstrong</t>
  </si>
  <si>
    <t>Wild Atlantic salmon</t>
  </si>
  <si>
    <t>Salmo salar</t>
  </si>
  <si>
    <t>fish</t>
  </si>
  <si>
    <t>Baccetti</t>
  </si>
  <si>
    <t>Mediterranean Waterbirds Bulletin</t>
  </si>
  <si>
    <t>Sardinia</t>
  </si>
  <si>
    <t>breeders</t>
  </si>
  <si>
    <t>Jungwirth</t>
  </si>
  <si>
    <t>Molothrus ater</t>
  </si>
  <si>
    <t>Deuel</t>
  </si>
  <si>
    <t>Wildlife Biology</t>
  </si>
  <si>
    <t>Gray fox</t>
  </si>
  <si>
    <t>Urocyon cinereoargenteus</t>
  </si>
  <si>
    <t>USA</t>
  </si>
  <si>
    <t>Barve</t>
  </si>
  <si>
    <t>Acorn woodpecker</t>
  </si>
  <si>
    <t>Melanerpes formicivorus</t>
  </si>
  <si>
    <t>Flammulated owl</t>
  </si>
  <si>
    <t>Psiloscops flammeolus</t>
  </si>
  <si>
    <t>Ciaglo</t>
  </si>
  <si>
    <t>Roth</t>
  </si>
  <si>
    <t>Carter</t>
  </si>
  <si>
    <t>Wilson Jourf of Ornith</t>
  </si>
  <si>
    <t>Indigo Bunting</t>
  </si>
  <si>
    <t>Passerina cyanea</t>
  </si>
  <si>
    <t>Soulsbury</t>
  </si>
  <si>
    <t>Red fox</t>
  </si>
  <si>
    <t>Vulpes vulpes</t>
  </si>
  <si>
    <t>Fedy</t>
  </si>
  <si>
    <t>Auk</t>
  </si>
  <si>
    <t>White-bellied Antbirds</t>
  </si>
  <si>
    <t>Myrmeciza longipes</t>
  </si>
  <si>
    <t>Miron</t>
  </si>
  <si>
    <t>Polychaete</t>
  </si>
  <si>
    <t>Nereis virens</t>
  </si>
  <si>
    <t>Naguib</t>
  </si>
  <si>
    <t>Dique</t>
  </si>
  <si>
    <t>Wildlife Research</t>
  </si>
  <si>
    <t>Koala</t>
  </si>
  <si>
    <t>Lab</t>
  </si>
  <si>
    <t>Trainor</t>
  </si>
  <si>
    <t>Thomson</t>
  </si>
  <si>
    <t>White</t>
  </si>
  <si>
    <t>Brown-headed cowbird</t>
  </si>
  <si>
    <t>Bond</t>
  </si>
  <si>
    <t>Polar Biology</t>
  </si>
  <si>
    <t>Tristan albatross</t>
  </si>
  <si>
    <t>Diomedea dabbenena</t>
  </si>
  <si>
    <t>Immature</t>
  </si>
  <si>
    <t>Chiver</t>
  </si>
  <si>
    <t>Hooded warbler</t>
  </si>
  <si>
    <t>Wilsonia citrina</t>
  </si>
  <si>
    <t>Courtot</t>
  </si>
  <si>
    <t>Journ Wild Manag</t>
  </si>
  <si>
    <t>Doubled-crested cormorant</t>
  </si>
  <si>
    <t>Phalacrocorax auritus</t>
  </si>
  <si>
    <t>Landsc Ecol</t>
  </si>
  <si>
    <t>juvenile females</t>
  </si>
  <si>
    <t>Spotless starling</t>
  </si>
  <si>
    <t>active breeders and floaters</t>
  </si>
  <si>
    <t>all</t>
  </si>
  <si>
    <t>Stutchbury</t>
  </si>
  <si>
    <t>Journ Avian Biol</t>
  </si>
  <si>
    <t>Mays</t>
  </si>
  <si>
    <t>Yellow-breasted chat</t>
  </si>
  <si>
    <t xml:space="preserve">Pedersen </t>
  </si>
  <si>
    <t>Common yellowthroat</t>
  </si>
  <si>
    <t>Geothlypis trichas</t>
  </si>
  <si>
    <t>Kloskowski</t>
  </si>
  <si>
    <t>Red‐necked grebe</t>
  </si>
  <si>
    <t>Podiceps grisegena</t>
  </si>
  <si>
    <t>Rendon</t>
  </si>
  <si>
    <t>Greater flamingo</t>
  </si>
  <si>
    <t>Phoenicopterus ruber</t>
  </si>
  <si>
    <t>Journ of Ornith</t>
  </si>
  <si>
    <t>Sanchez-Tojar</t>
  </si>
  <si>
    <t>House sparrow</t>
  </si>
  <si>
    <t>Passer domesticus</t>
  </si>
  <si>
    <t>young fish (parrs)</t>
  </si>
  <si>
    <t>male breeders</t>
  </si>
  <si>
    <t>Double</t>
  </si>
  <si>
    <t>Proc Roy Soc B</t>
  </si>
  <si>
    <t>Superb fairy wren</t>
  </si>
  <si>
    <t>Common cuckoo</t>
  </si>
  <si>
    <t>Czech Republic</t>
  </si>
  <si>
    <t>annelid</t>
  </si>
  <si>
    <t>Malurus cyaneus</t>
  </si>
  <si>
    <t>Sturnus vulgaris</t>
  </si>
  <si>
    <t>non-breeder males (2 years)</t>
  </si>
  <si>
    <t>Italy</t>
  </si>
  <si>
    <t>Phascolarctos cinereus</t>
  </si>
  <si>
    <t>subadults, youg adults, adults both males and females</t>
  </si>
  <si>
    <t>fledgings, first-year</t>
  </si>
  <si>
    <t>Oenanthe oenanthe</t>
  </si>
  <si>
    <t>non-breeders</t>
  </si>
  <si>
    <t>Neolamprologus pulcher</t>
  </si>
  <si>
    <t>Lake Tanganyika</t>
  </si>
  <si>
    <t>dominant and subordinates prospect</t>
  </si>
  <si>
    <t>Cichlid fish</t>
  </si>
  <si>
    <t>Honey bee</t>
  </si>
  <si>
    <t>Meerkat</t>
  </si>
  <si>
    <t>Yellow-headed blackbird</t>
  </si>
  <si>
    <t>Veiga</t>
  </si>
  <si>
    <t>Ethology</t>
  </si>
  <si>
    <t>fledgings</t>
  </si>
  <si>
    <t>Red-cockaded woodpecker</t>
  </si>
  <si>
    <t>breeders, helpers</t>
  </si>
  <si>
    <t>Cram</t>
  </si>
  <si>
    <t>dominants, helpers</t>
  </si>
  <si>
    <t>Icterina virens</t>
  </si>
  <si>
    <t>males, females</t>
  </si>
  <si>
    <t>Seychelles</t>
  </si>
  <si>
    <t>subordinates</t>
  </si>
  <si>
    <t>DOI</t>
  </si>
  <si>
    <t>1113–1121. doi:10.1093/beheco/arx075</t>
  </si>
  <si>
    <t>10.1093/icb/icw015</t>
  </si>
  <si>
    <t>10.1007/s00227-017-3151-8</t>
  </si>
  <si>
    <t>10.1111/j.2041-210x.2012.00259.x</t>
  </si>
  <si>
    <t>10.1007/s00442-005-0179-0</t>
  </si>
  <si>
    <t>10.1016/j.beproc.2007.05.002</t>
  </si>
  <si>
    <t>10.1006/anbe.2003.2128</t>
  </si>
  <si>
    <t>10.1016/j.anbehav.2004.09.015</t>
  </si>
  <si>
    <t>10.1111/evo.13071</t>
  </si>
  <si>
    <t>10.1093/beheco/arm062</t>
  </si>
  <si>
    <t>10.1098/rsbl.2009.0032</t>
  </si>
  <si>
    <t>10.1016/j.anbehav.2005.01.019</t>
  </si>
  <si>
    <t>10.1098/rspb.2007.0316</t>
  </si>
  <si>
    <t>10.1111/j.1365-2656.2007.01329.x</t>
  </si>
  <si>
    <t>10.1371/journal.pone.0072713</t>
  </si>
  <si>
    <t>10.1080/03949370.2019.1625952</t>
  </si>
  <si>
    <t>10.1093/beheco/arq158</t>
  </si>
  <si>
    <t>10.1093/beheco/arp179</t>
  </si>
  <si>
    <t>10.1111/j.1365-2656.2006.01168.x</t>
  </si>
  <si>
    <t>10.1093/beheco/arj049</t>
  </si>
  <si>
    <t>10.1007/s002650100326</t>
  </si>
  <si>
    <t>10.1111/j.1365-2656.2011.01849.x</t>
  </si>
  <si>
    <t>Behav Proc</t>
  </si>
  <si>
    <t>10.1016/j.jembe.2015.08.013</t>
  </si>
  <si>
    <t>10.1016.j.anbehav.2016.12.17</t>
  </si>
  <si>
    <t>10.1016/j.anbehav.2013.11.025</t>
  </si>
  <si>
    <t>10.1098/rspb.2017.1083</t>
  </si>
  <si>
    <t>10.1016/j.anbehav.2015.05.005</t>
  </si>
  <si>
    <t>10.1016/j.anbehav.2013.11.024</t>
  </si>
  <si>
    <t>10.1016/j.cub.2018.07.021</t>
  </si>
  <si>
    <t>10.1002/ecy.2943</t>
  </si>
  <si>
    <t>10.1093/beheco/ars076</t>
  </si>
  <si>
    <t>10.1002/ece3.7085</t>
  </si>
  <si>
    <t>10.1098/rspb.2001.1939</t>
  </si>
  <si>
    <t>10.1098/rsbl.2003.0133</t>
  </si>
  <si>
    <t>10.2307/6022</t>
  </si>
  <si>
    <t>10.1007/s00300-020-02786-0</t>
  </si>
  <si>
    <t>10.1111/j.1474-919X.1999.tb07550.x</t>
  </si>
  <si>
    <t>10.1093/beheco/arh019</t>
  </si>
  <si>
    <t>10.1016/j.anbehav.2009.12.007</t>
  </si>
  <si>
    <t>10.1093/beheco/arv167</t>
  </si>
  <si>
    <t>10.1016/j.anbehav.2020.04.013</t>
  </si>
  <si>
    <t>10.1007/s00265-008-0629-x</t>
  </si>
  <si>
    <t>10.1016/j.cub.2020.07.056</t>
  </si>
  <si>
    <t>10.1002/jwmg.403</t>
  </si>
  <si>
    <t>10.1111/j.2006.0906-7590.04816.x</t>
  </si>
  <si>
    <t>10.1642/AUK-16-80.1</t>
  </si>
  <si>
    <t>10.2981/wlb.00326</t>
  </si>
  <si>
    <t>10.1071/WR02043</t>
  </si>
  <si>
    <t>10.1890/03-0015</t>
  </si>
  <si>
    <t>10.1126/science.1072838</t>
  </si>
  <si>
    <t>10.1016/j.anbehav.2003.03.010</t>
  </si>
  <si>
    <t>10.1098/rspb.2000.1023</t>
  </si>
  <si>
    <t>10.1080/00063657.2016.1141166</t>
  </si>
  <si>
    <t>10.1080/00063657.2014.950942</t>
  </si>
  <si>
    <t>10.1093/auk/120.2.446</t>
  </si>
  <si>
    <t>10.1111/j.0021-8790.2004.00884.x</t>
  </si>
  <si>
    <t>10.1006/anbe.2002.1969</t>
  </si>
  <si>
    <t>10.1093/auk/124.2.381</t>
  </si>
  <si>
    <t>10.1086/591682</t>
  </si>
  <si>
    <t>10.1007/s00114-004-0510-3</t>
  </si>
  <si>
    <t>10.1016/0022-0981(91)90006-I</t>
  </si>
  <si>
    <t>10.1007/s00442-021-05040-4</t>
  </si>
  <si>
    <t>10.1642/0004-8038(2001)118[1069:naitpf]2.0.co;2</t>
  </si>
  <si>
    <t>10.1111/j.1365-2656.2011.01854.x</t>
  </si>
  <si>
    <t>10.1093/beheco/arl021</t>
  </si>
  <si>
    <t>10.1046/j.1365-2907.2003.00031.x</t>
  </si>
  <si>
    <t>10.1111/jav.01055</t>
  </si>
  <si>
    <t>10.1007/s00265-016-2250-8</t>
  </si>
  <si>
    <t>10.1006/anbe.1998.0993</t>
  </si>
  <si>
    <t>10.1007/s002650000299</t>
  </si>
  <si>
    <t>https://www.jstor.org/stable/4536149</t>
  </si>
  <si>
    <t>10.1644/09-mamm-a-187.1</t>
  </si>
  <si>
    <t>10.1126/science.1166664</t>
  </si>
  <si>
    <t>https://www.jstor.org/stable/23034299</t>
  </si>
  <si>
    <t>10.1007/s00265-013-1513-x</t>
  </si>
  <si>
    <t>10.1007/s00114-003-0486-4</t>
  </si>
  <si>
    <t>10.1007/s10980-013-9861-5</t>
  </si>
  <si>
    <t>10.1093/beheco/12.3.275</t>
  </si>
  <si>
    <t>10.1139/z01-124</t>
  </si>
  <si>
    <t>10.1007/s00227-010-1563-9</t>
  </si>
  <si>
    <t>10.1111/j.1557-9263.2009.00243.x</t>
  </si>
  <si>
    <t>10.1007/s00265-012-1389-1</t>
  </si>
  <si>
    <t>10.1890/05-0413</t>
  </si>
  <si>
    <t>Gough Island</t>
  </si>
  <si>
    <t>Mov Ecol</t>
  </si>
  <si>
    <t>Sturnus unicolor</t>
  </si>
  <si>
    <t>Harrison</t>
  </si>
  <si>
    <t>Coyote</t>
  </si>
  <si>
    <t>Canis latrans</t>
  </si>
  <si>
    <t>Eikenaar</t>
  </si>
  <si>
    <t>10.1111/j.2008.0908-8857.04124.x</t>
  </si>
  <si>
    <t>young male and female subordinates</t>
  </si>
  <si>
    <t>Williams</t>
  </si>
  <si>
    <t>Celis-Murillo</t>
  </si>
  <si>
    <t>Field sparrow</t>
  </si>
  <si>
    <t>Spizella pusilla</t>
  </si>
  <si>
    <t>https://doi.org/10.1676/1559-4491.130.4.1032</t>
  </si>
  <si>
    <t>https://www.jstor.org/stable/44857211</t>
  </si>
  <si>
    <t>Automated VHF</t>
  </si>
  <si>
    <t>males and females</t>
  </si>
  <si>
    <t>Kleven</t>
  </si>
  <si>
    <t>Partial</t>
  </si>
  <si>
    <t>Reed bunting</t>
  </si>
  <si>
    <t>Emberiza schoeniclus</t>
  </si>
  <si>
    <t>10.1007/s10336-005-0039-z</t>
  </si>
  <si>
    <t>https://doi.org/10.1016/j.anbehav.2006.02.010</t>
  </si>
  <si>
    <t>http://www.jstor.org/stable/1381839</t>
  </si>
  <si>
    <t>pups</t>
  </si>
  <si>
    <t>10.1111/j.1439-0310.2012.02083.x</t>
  </si>
  <si>
    <t>video-recording</t>
  </si>
  <si>
    <t>Yearlings (more) and breeding adults</t>
  </si>
  <si>
    <t>Oikos</t>
  </si>
  <si>
    <t>Brown jay</t>
  </si>
  <si>
    <t>10.1111/j.1365-2656.2004.00907.x</t>
  </si>
  <si>
    <t>Panama</t>
  </si>
  <si>
    <t>https://doi.org/10.1093</t>
  </si>
  <si>
    <t>10.1007/BF01651369</t>
  </si>
  <si>
    <t>https://doi.org/10.1038/s41598-020-79942-3</t>
  </si>
  <si>
    <t>Poland</t>
  </si>
  <si>
    <t>juveniles/immatures</t>
  </si>
  <si>
    <t>Meadow brown butterfly - Gatekeeper butterfly</t>
  </si>
  <si>
    <t>Maniola jurtina - Pyronia tithonus</t>
  </si>
  <si>
    <t>Doolan</t>
  </si>
  <si>
    <t>J Zool London</t>
  </si>
  <si>
    <t>Slender-tailed meerkat</t>
  </si>
  <si>
    <t>GPS+PTT</t>
  </si>
  <si>
    <t>GPS-PTT+VHF</t>
  </si>
  <si>
    <t>https://doi.org/10.2307/3677246</t>
  </si>
  <si>
    <t>https://doi.org/10.1186/s40462-015-0028-7</t>
  </si>
  <si>
    <t>Therrien</t>
  </si>
  <si>
    <t>Snowy owl</t>
  </si>
  <si>
    <t>Bubo scandiacus</t>
  </si>
  <si>
    <t>10.3161/000164509X482777</t>
  </si>
  <si>
    <t>Cadahia</t>
  </si>
  <si>
    <t>Acta Ornith</t>
  </si>
  <si>
    <t>Bonelli's eagle</t>
  </si>
  <si>
    <t>Aquila fasciata</t>
  </si>
  <si>
    <t>immatures</t>
  </si>
  <si>
    <t>https://doi.org/10.3161/000164507783516791</t>
  </si>
  <si>
    <t>Golden eagle</t>
  </si>
  <si>
    <t>Aquila chrysaetos</t>
  </si>
  <si>
    <t>ijuvenile (1-4 years)</t>
  </si>
  <si>
    <t>https://doi.org/10.1007/s10164-015-0425-9</t>
  </si>
  <si>
    <t>Wischhoff</t>
  </si>
  <si>
    <t>Journ of Ethol</t>
  </si>
  <si>
    <t>White-rumped swallow</t>
  </si>
  <si>
    <t>Tachycineta leucorrhoa</t>
  </si>
  <si>
    <t>Brazil</t>
  </si>
  <si>
    <t>https://doi.org/10.1676/07-025.1</t>
  </si>
  <si>
    <t>Riehl</t>
  </si>
  <si>
    <t>Back-headed trogo</t>
  </si>
  <si>
    <t>Trogon melanocephalus</t>
  </si>
  <si>
    <t>Balbontin</t>
  </si>
  <si>
    <t>2nd years</t>
  </si>
  <si>
    <t>https://doi.org/10.1016/j.anbehav.2016.03.023</t>
  </si>
  <si>
    <t>Muriel</t>
  </si>
  <si>
    <t>Spanish imperial eagle</t>
  </si>
  <si>
    <t>Aquila adalberti</t>
  </si>
  <si>
    <t>https://doi.org/10.1186/1472-6785-13-42</t>
  </si>
  <si>
    <t>Weston</t>
  </si>
  <si>
    <t>BMC Ecology</t>
  </si>
  <si>
    <t>GPS-PTT</t>
  </si>
  <si>
    <t>https://doi.org/10.1111/ibi.12967</t>
  </si>
  <si>
    <t>Engler</t>
  </si>
  <si>
    <t>White-tailed sea eagle</t>
  </si>
  <si>
    <t>Haliaeetus albicilla</t>
  </si>
  <si>
    <t>fledging</t>
  </si>
  <si>
    <t>https://doi.org/10.1111/ibi.12217</t>
  </si>
  <si>
    <t>Bentzen</t>
  </si>
  <si>
    <t>King eider</t>
  </si>
  <si>
    <t>Somateria spectabilis</t>
  </si>
  <si>
    <t>Poessel</t>
  </si>
  <si>
    <t>https://doi.org/10.1002/ecs2.4072</t>
  </si>
  <si>
    <t>juveniles, subadults</t>
  </si>
  <si>
    <t>Ecosphere</t>
  </si>
  <si>
    <t>10.1139/cjz-2016-0166</t>
  </si>
  <si>
    <t>Wails</t>
  </si>
  <si>
    <t>Least auklet - Crested auklet</t>
  </si>
  <si>
    <t>Aethia pusilla - Aethia cristatella</t>
  </si>
  <si>
    <t>immatures vs adults</t>
  </si>
  <si>
    <t>10.1098/rspb.2008.1726</t>
  </si>
  <si>
    <t>Urios</t>
  </si>
  <si>
    <t>10.1111/ibi.12786</t>
  </si>
  <si>
    <t>Wolfson</t>
  </si>
  <si>
    <t>Sandhill crane</t>
  </si>
  <si>
    <t>Antigone canadensis</t>
  </si>
  <si>
    <t>Kelly</t>
  </si>
  <si>
    <t>Scient Reports</t>
  </si>
  <si>
    <t>European badger</t>
  </si>
  <si>
    <t>Mayer</t>
  </si>
  <si>
    <t>https://doi.org/10.1038/s41598-020-66809-w</t>
  </si>
  <si>
    <t>Eurasian beaver</t>
  </si>
  <si>
    <t>Castor fiber</t>
  </si>
  <si>
    <t>Ireland</t>
  </si>
  <si>
    <t>https://doi.org/10.1038/s41598-017-15540-0</t>
  </si>
  <si>
    <t>Debeffe</t>
  </si>
  <si>
    <t>Roe deer</t>
  </si>
  <si>
    <t>Europe</t>
  </si>
  <si>
    <t>Capreolus capreolus</t>
  </si>
  <si>
    <t>10.1007/s00442-014-3021-</t>
  </si>
  <si>
    <t>Mancinelli</t>
  </si>
  <si>
    <t>Mammal Biol</t>
  </si>
  <si>
    <t>Wolf</t>
  </si>
  <si>
    <t>Canis lupus</t>
  </si>
  <si>
    <t>https://doi.org/10.1016/j.mambio.2018.08.003</t>
  </si>
  <si>
    <t>https://doi.org/10.1016/j.anbehav.2013.05.005</t>
  </si>
  <si>
    <t>https://doi.org/10.1111/j.1469-7998.2011.00857.x</t>
  </si>
  <si>
    <t>Samelius</t>
  </si>
  <si>
    <t>Journ of Zool</t>
  </si>
  <si>
    <t>Eurasian lynx</t>
  </si>
  <si>
    <t>Lynx lynx</t>
  </si>
  <si>
    <t>Scandinavia</t>
  </si>
  <si>
    <t>Gaughran</t>
  </si>
  <si>
    <t>https://doi.org/10.1002/ece3.5753</t>
  </si>
  <si>
    <t>Blakey</t>
  </si>
  <si>
    <t>https://doi.org/10.1016/j.foreco.2018.10.017</t>
  </si>
  <si>
    <t>Forest Ecol Manag</t>
  </si>
  <si>
    <t>California spotted owl</t>
  </si>
  <si>
    <t>non-breeding females</t>
  </si>
  <si>
    <t>Van Moorter</t>
  </si>
  <si>
    <t>Ethol Ecol Evol</t>
  </si>
  <si>
    <t>https://doi.org/10.1080/08927014.2008.9522539</t>
  </si>
  <si>
    <t>https://doi.org/10.1093/cz/zoac002</t>
  </si>
  <si>
    <t>Patchett</t>
  </si>
  <si>
    <t>Curr Zool</t>
  </si>
  <si>
    <t>Cyprus wheatear</t>
  </si>
  <si>
    <t>Oenanthe cypriaca</t>
  </si>
  <si>
    <t>Cyprus</t>
  </si>
  <si>
    <t>Ducros</t>
  </si>
  <si>
    <t>10.1111/oik.06793</t>
  </si>
  <si>
    <t>10.1080/00063650802648374</t>
  </si>
  <si>
    <t>Taxa</t>
  </si>
  <si>
    <t>Continuous locations?</t>
  </si>
  <si>
    <t>nest parasite</t>
  </si>
  <si>
    <t>breeding adults, non breeders, majority pre-breeders</t>
  </si>
  <si>
    <t>Site selection</t>
  </si>
  <si>
    <t>Scientific name</t>
  </si>
  <si>
    <t>https://doi.org/10.1674/0003-0031-163.2.366</t>
  </si>
  <si>
    <t>White-tailed deer</t>
  </si>
  <si>
    <t>Kolodzinski</t>
  </si>
  <si>
    <t>Am Mid Nat</t>
  </si>
  <si>
    <t>Odocoilus virginianus</t>
  </si>
  <si>
    <t>breeding females</t>
  </si>
  <si>
    <t>https://doi.org/10.3398/1527-0904(2007)67[102:DAEMOS]2.0.CO;2</t>
  </si>
  <si>
    <t>Nicholson</t>
  </si>
  <si>
    <t>West North Amer Nat</t>
  </si>
  <si>
    <t>Swift fox</t>
  </si>
  <si>
    <t>Vulpes velox</t>
  </si>
  <si>
    <t>adult males</t>
  </si>
  <si>
    <t>Function</t>
  </si>
  <si>
    <t>non-territory males</t>
  </si>
  <si>
    <t>Breeding status</t>
  </si>
  <si>
    <t>Breeding status + sex</t>
  </si>
  <si>
    <t>Exploratory behaviour</t>
  </si>
  <si>
    <t>Opportunistic record</t>
  </si>
  <si>
    <t>Sex</t>
  </si>
  <si>
    <t>Site familiarity</t>
  </si>
  <si>
    <t>Juveniles and adult males</t>
  </si>
  <si>
    <t>Fertile females</t>
  </si>
  <si>
    <t>Dispersal status</t>
  </si>
  <si>
    <t>First year juveniles</t>
  </si>
  <si>
    <t>failed and successful breeders</t>
  </si>
  <si>
    <t>fertile females</t>
  </si>
  <si>
    <t>juvenile males and females</t>
  </si>
  <si>
    <t>Familiarity</t>
  </si>
  <si>
    <t>Habitat quality</t>
  </si>
  <si>
    <t>Inbreeding</t>
  </si>
  <si>
    <t>Social cues</t>
  </si>
  <si>
    <t>males</t>
  </si>
  <si>
    <t>Sex + social cues</t>
  </si>
  <si>
    <t>Breeding status + social cues</t>
  </si>
  <si>
    <t>unclear</t>
  </si>
  <si>
    <t>FB, SB, fledglings</t>
  </si>
  <si>
    <t>FB, SB</t>
  </si>
  <si>
    <t>Habitat quality +  social cues</t>
  </si>
  <si>
    <t>Habitat quality +  social cues + breeding status</t>
  </si>
  <si>
    <t>young breeders</t>
  </si>
  <si>
    <t>males and females in groups</t>
  </si>
  <si>
    <t>dispersers</t>
  </si>
  <si>
    <t>unpaired females</t>
  </si>
  <si>
    <t>Timing + social cues</t>
  </si>
  <si>
    <t>Personality</t>
  </si>
  <si>
    <t>Breeding status + timing + social cues</t>
  </si>
  <si>
    <t>Sex + familiarity</t>
  </si>
  <si>
    <t>Habitat quality + decision rule</t>
  </si>
  <si>
    <t>Habitat quality + sex</t>
  </si>
  <si>
    <t>Author</t>
  </si>
  <si>
    <t>Groups of prospectors</t>
  </si>
  <si>
    <t>Habitat quality + timing + sex + breeding status</t>
  </si>
  <si>
    <t>Breeding status + sex + social cues</t>
  </si>
  <si>
    <t>Breeding adults</t>
  </si>
  <si>
    <t>Breeding status/Age</t>
  </si>
  <si>
    <t>Timing</t>
  </si>
  <si>
    <t>Exploration</t>
  </si>
  <si>
    <t>Pre-breeders and adults</t>
  </si>
  <si>
    <t>Breeding status + timing</t>
  </si>
  <si>
    <t>Breeding status + timing + familiarity</t>
  </si>
  <si>
    <t>young and old males</t>
  </si>
  <si>
    <t>Subordinates and dominants</t>
  </si>
  <si>
    <t>Cost</t>
  </si>
  <si>
    <t>Breeding status + timing + habitat quality</t>
  </si>
  <si>
    <t>subadult females</t>
  </si>
  <si>
    <t>Main factor(s) addressed</t>
  </si>
  <si>
    <t>Breeding status + sex + timing</t>
  </si>
  <si>
    <t>Tactics</t>
  </si>
  <si>
    <t>Timing + sex</t>
  </si>
  <si>
    <t>Social cues + timing</t>
  </si>
  <si>
    <t>Breeding status + sex + inbreeding</t>
  </si>
  <si>
    <t>Sex + breeding status + timing + tactics</t>
  </si>
  <si>
    <t>Breeding status+timing</t>
  </si>
  <si>
    <t>Sex+social cues</t>
  </si>
  <si>
    <t>Social cues+familiarity +social cues</t>
  </si>
  <si>
    <t>timing + sex</t>
  </si>
  <si>
    <t>timing</t>
  </si>
  <si>
    <t>timing + social cues</t>
  </si>
  <si>
    <t>timing + breeding status + sex + social cues</t>
  </si>
  <si>
    <r>
      <rPr>
        <b/>
        <sz val="11"/>
        <color theme="1"/>
        <rFont val="Calibri"/>
        <family val="2"/>
        <scheme val="minor"/>
      </rPr>
      <t xml:space="preserve">Sex </t>
    </r>
    <r>
      <rPr>
        <sz val="11"/>
        <color theme="1"/>
        <rFont val="Calibri"/>
        <family val="2"/>
        <scheme val="minor"/>
      </rPr>
      <t>= males and females</t>
    </r>
  </si>
  <si>
    <r>
      <rPr>
        <b/>
        <sz val="11"/>
        <color theme="1"/>
        <rFont val="Calibri"/>
        <family val="2"/>
        <scheme val="minor"/>
      </rPr>
      <t xml:space="preserve">Breeding status/Age </t>
    </r>
    <r>
      <rPr>
        <sz val="11"/>
        <color theme="1"/>
        <rFont val="Calibri"/>
        <family val="2"/>
        <scheme val="minor"/>
      </rPr>
      <t>= juveniles, subadults, adults, active breeders, successful breeders, failed breeders, floaters, dominants,helpers, subordinates</t>
    </r>
  </si>
  <si>
    <r>
      <rPr>
        <b/>
        <sz val="11"/>
        <color theme="1"/>
        <rFont val="Calibri"/>
        <family val="2"/>
        <scheme val="minor"/>
      </rPr>
      <t xml:space="preserve">Social cues = </t>
    </r>
    <r>
      <rPr>
        <sz val="11"/>
        <color theme="1"/>
        <rFont val="Calibri"/>
        <family val="2"/>
        <scheme val="minor"/>
      </rPr>
      <t>cues used during prospecting based on conspecifics presence or performance</t>
    </r>
  </si>
  <si>
    <r>
      <rPr>
        <b/>
        <sz val="11"/>
        <color theme="1"/>
        <rFont val="Calibri"/>
        <family val="2"/>
        <scheme val="minor"/>
      </rPr>
      <t>Dispersal status</t>
    </r>
    <r>
      <rPr>
        <sz val="11"/>
        <color theme="1"/>
        <rFont val="Calibri"/>
        <family val="2"/>
        <scheme val="minor"/>
      </rPr>
      <t xml:space="preserve"> = philopatric, dispersers</t>
    </r>
  </si>
  <si>
    <r>
      <rPr>
        <b/>
        <sz val="11"/>
        <color theme="1"/>
        <rFont val="Calibri"/>
        <family val="2"/>
        <scheme val="minor"/>
      </rPr>
      <t>Familiarity =</t>
    </r>
    <r>
      <rPr>
        <sz val="11"/>
        <color theme="1"/>
        <rFont val="Calibri"/>
        <family val="2"/>
        <scheme val="minor"/>
      </rPr>
      <t xml:space="preserve"> familiarity with site or social group</t>
    </r>
  </si>
  <si>
    <r>
      <rPr>
        <b/>
        <sz val="11"/>
        <color theme="1"/>
        <rFont val="Calibri"/>
        <family val="2"/>
        <scheme val="minor"/>
      </rPr>
      <t>Timing</t>
    </r>
    <r>
      <rPr>
        <sz val="11"/>
        <color theme="1"/>
        <rFont val="Calibri"/>
        <family val="2"/>
        <scheme val="minor"/>
      </rPr>
      <t xml:space="preserve"> = when individuals prospect</t>
    </r>
  </si>
  <si>
    <r>
      <rPr>
        <b/>
        <sz val="11"/>
        <color theme="1"/>
        <rFont val="Calibri"/>
        <family val="2"/>
        <scheme val="minor"/>
      </rPr>
      <t>Habitat quality/size</t>
    </r>
    <r>
      <rPr>
        <sz val="11"/>
        <color theme="1"/>
        <rFont val="Calibri"/>
        <family val="2"/>
        <scheme val="minor"/>
      </rPr>
      <t xml:space="preserve"> = Quality or size of sites prospected</t>
    </r>
  </si>
  <si>
    <r>
      <rPr>
        <b/>
        <sz val="11"/>
        <color theme="1"/>
        <rFont val="Calibri"/>
        <family val="2"/>
        <scheme val="minor"/>
      </rPr>
      <t>Cost</t>
    </r>
    <r>
      <rPr>
        <sz val="11"/>
        <color theme="1"/>
        <rFont val="Calibri"/>
        <family val="2"/>
        <scheme val="minor"/>
      </rPr>
      <t xml:space="preserve"> = cost of prospecting</t>
    </r>
  </si>
  <si>
    <r>
      <rPr>
        <b/>
        <sz val="11"/>
        <color theme="1"/>
        <rFont val="Calibri"/>
        <family val="2"/>
        <scheme val="minor"/>
      </rPr>
      <t>Tactics</t>
    </r>
    <r>
      <rPr>
        <sz val="11"/>
        <color theme="1"/>
        <rFont val="Calibri"/>
        <family val="2"/>
        <scheme val="minor"/>
      </rPr>
      <t xml:space="preserve"> = Best-of-n strategy or sequential sampling</t>
    </r>
  </si>
  <si>
    <t>Other</t>
  </si>
  <si>
    <r>
      <rPr>
        <b/>
        <sz val="11"/>
        <color theme="1"/>
        <rFont val="Calibri"/>
        <family val="2"/>
        <scheme val="minor"/>
      </rPr>
      <t>Exploration</t>
    </r>
    <r>
      <rPr>
        <sz val="11"/>
        <color theme="1"/>
        <rFont val="Calibri"/>
        <family val="2"/>
        <scheme val="minor"/>
      </rPr>
      <t xml:space="preserve"> = no specific factor addressed, just general movement patterns</t>
    </r>
  </si>
  <si>
    <t>Habitat quality + familiarity</t>
  </si>
  <si>
    <t>Habitat quality/availability</t>
  </si>
  <si>
    <t>Dispersal status + timing + territory availavility</t>
  </si>
  <si>
    <t>Breeding status + cost + habitat quality</t>
  </si>
  <si>
    <t>M&gt;F</t>
  </si>
  <si>
    <t>young=SB=FB</t>
  </si>
  <si>
    <t>non-breeding only (no SB)</t>
  </si>
  <si>
    <t>F&gt;M</t>
  </si>
  <si>
    <t>failed breeders only</t>
  </si>
  <si>
    <t>M=F</t>
  </si>
  <si>
    <t>young &gt; adults</t>
  </si>
  <si>
    <t>FB&gt;SB</t>
  </si>
  <si>
    <t>failed breeders only (no SB)</t>
  </si>
  <si>
    <t>Tactic + cost + timing</t>
  </si>
  <si>
    <t>dispersers&gt;philopatric</t>
  </si>
  <si>
    <t>M!=F</t>
  </si>
  <si>
    <t>Breeding status + sex + cost</t>
  </si>
  <si>
    <t>territorial males and females</t>
  </si>
  <si>
    <t>young&gt;old</t>
  </si>
  <si>
    <t>low quality&gt;high quality</t>
  </si>
  <si>
    <t>subordinates=dominants</t>
  </si>
  <si>
    <t>helpers&gt;dominants</t>
  </si>
  <si>
    <t>Sex+cost+inbreeding</t>
  </si>
  <si>
    <t>Breeding status+cost+inbreeding+tactics+timing</t>
  </si>
  <si>
    <t>old&gt;young</t>
  </si>
  <si>
    <t>subordinates&gt;dominants</t>
  </si>
  <si>
    <t>adults only</t>
  </si>
  <si>
    <t>Social cues + habitat quality + breeding status + sex</t>
  </si>
  <si>
    <t>yearlings&gt;breeders</t>
  </si>
  <si>
    <t>immatures only</t>
  </si>
  <si>
    <t>young&gt;adults</t>
  </si>
  <si>
    <t>timing + social cues +breeding status</t>
  </si>
  <si>
    <t>yearings&gt;adults</t>
  </si>
  <si>
    <t>Sex + timing + social cues</t>
  </si>
  <si>
    <t>juveniles=adults</t>
  </si>
  <si>
    <t>breeders=non-breeders</t>
  </si>
  <si>
    <t>Social cues + timing + sex</t>
  </si>
  <si>
    <t>older&gt;younger subadults</t>
  </si>
  <si>
    <t>Timing + social cues + sex</t>
  </si>
  <si>
    <t>non-breeders&gt;breeding</t>
  </si>
  <si>
    <t>non breeders&gt;breeding</t>
  </si>
  <si>
    <t>Breeding status + habitat quality</t>
  </si>
  <si>
    <t>adults&gt;young</t>
  </si>
  <si>
    <t>juveniles&gt;adults</t>
  </si>
  <si>
    <t>older&gt;young</t>
  </si>
  <si>
    <t>subordinates&gt;floaters</t>
  </si>
  <si>
    <t>Breeding status + social cues + dispersal status</t>
  </si>
  <si>
    <t>Sex + breeding status + timing + social cues</t>
  </si>
  <si>
    <t>Sex + habitat quality</t>
  </si>
  <si>
    <t>dominants != helpers</t>
  </si>
  <si>
    <t>alpha and non-dominant males</t>
  </si>
  <si>
    <t>breeding adults, floaters</t>
  </si>
  <si>
    <t>successful breeders</t>
  </si>
  <si>
    <t>successful breeders, failed breeders</t>
  </si>
  <si>
    <t>juveniles, helpers, adults, dominants</t>
  </si>
  <si>
    <t>juveniles, adults</t>
  </si>
  <si>
    <t>juveniles, adult females</t>
  </si>
  <si>
    <t>Sex+breeding status</t>
  </si>
  <si>
    <t>Breeding status + sex + social cues+habitat quality+timing</t>
  </si>
  <si>
    <t>tactics + familiarity + sex</t>
  </si>
  <si>
    <t>tactics + cost + timing</t>
  </si>
  <si>
    <t>tactics</t>
  </si>
  <si>
    <t>Sex+breeding status+social cues</t>
  </si>
  <si>
    <t>failed&gt;successful</t>
  </si>
  <si>
    <t>Habitat quality + tactics</t>
  </si>
  <si>
    <t>tactics + dispersal status + sex</t>
  </si>
  <si>
    <r>
      <t>Opportunistic record =</t>
    </r>
    <r>
      <rPr>
        <sz val="11"/>
        <color theme="1"/>
        <rFont val="Calibri"/>
        <family val="2"/>
        <scheme val="minor"/>
      </rPr>
      <t xml:space="preserve"> study describing the occurrence of prospecting while not focusing specifically on it</t>
    </r>
  </si>
  <si>
    <r>
      <rPr>
        <b/>
        <sz val="11"/>
        <color theme="1"/>
        <rFont val="Calibri"/>
        <family val="2"/>
        <scheme val="minor"/>
      </rPr>
      <t>Inbreeding =</t>
    </r>
    <r>
      <rPr>
        <sz val="11"/>
        <color theme="1"/>
        <rFont val="Calibri"/>
        <family val="2"/>
        <scheme val="minor"/>
      </rPr>
      <t xml:space="preserve"> prospecting as a way to avoid inbreeding after dispersal</t>
    </r>
  </si>
  <si>
    <r>
      <rPr>
        <b/>
        <sz val="11"/>
        <color theme="1"/>
        <rFont val="Calibri"/>
        <family val="2"/>
        <scheme val="minor"/>
      </rPr>
      <t>Other =</t>
    </r>
    <r>
      <rPr>
        <sz val="11"/>
        <color theme="1"/>
        <rFont val="Calibri"/>
        <family val="2"/>
        <scheme val="minor"/>
      </rPr>
      <t xml:space="preserve"> Inbreeding + dispersal status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</si>
</sst>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 ???/???"/>
  </numFmts>
  <fonts count="9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b/>
      <i/>
      <sz val="11"/>
      <name val="Calibri"/>
      <family val="2"/>
      <scheme val="minor"/>
    </font>
    <font>
      <i/>
      <sz val="11"/>
      <name val="Calibri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F7FC6"/>
        <bgColor indexed="64"/>
      </patternFill>
    </fill>
    <fill>
      <patternFill patternType="solid">
        <fgColor rgb="FF00CC99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rgb="FFCCFF3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CC66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9CC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9" fontId="5" fillId="0" borderId="0" applyFont="0" applyFill="0" applyBorder="0" applyAlignment="0" applyProtection="0"/>
  </cellStyleXfs>
  <cellXfs count="105">
    <xf numFmtId="0" fontId="0" fillId="0" borderId="0" xfId="0"/>
    <xf numFmtId="0" fontId="2" fillId="0" borderId="0" xfId="0" applyFont="1"/>
    <xf numFmtId="0" fontId="0" fillId="5" borderId="0" xfId="0" applyFill="1"/>
    <xf numFmtId="0" fontId="0" fillId="0" borderId="0" xfId="0" applyFill="1"/>
    <xf numFmtId="0" fontId="0" fillId="7" borderId="0" xfId="0" applyFill="1"/>
    <xf numFmtId="0" fontId="2" fillId="0" borderId="1" xfId="0" applyFont="1" applyBorder="1"/>
    <xf numFmtId="0" fontId="2" fillId="10" borderId="1" xfId="0" applyFont="1" applyFill="1" applyBorder="1"/>
    <xf numFmtId="0" fontId="2" fillId="7" borderId="1" xfId="0" applyFont="1" applyFill="1" applyBorder="1"/>
    <xf numFmtId="0" fontId="2" fillId="12" borderId="1" xfId="0" applyFont="1" applyFill="1" applyBorder="1"/>
    <xf numFmtId="0" fontId="2" fillId="14" borderId="1" xfId="0" applyFont="1" applyFill="1" applyBorder="1"/>
    <xf numFmtId="0" fontId="2" fillId="13" borderId="1" xfId="0" applyFont="1" applyFill="1" applyBorder="1"/>
    <xf numFmtId="0" fontId="2" fillId="15" borderId="1" xfId="0" applyFont="1" applyFill="1" applyBorder="1"/>
    <xf numFmtId="0" fontId="4" fillId="0" borderId="1" xfId="0" applyFont="1" applyBorder="1"/>
    <xf numFmtId="0" fontId="0" fillId="5" borderId="1" xfId="0" applyFill="1" applyBorder="1"/>
    <xf numFmtId="0" fontId="0" fillId="10" borderId="1" xfId="0" applyFill="1" applyBorder="1"/>
    <xf numFmtId="0" fontId="0" fillId="7" borderId="1" xfId="0" applyFill="1" applyBorder="1"/>
    <xf numFmtId="0" fontId="0" fillId="12" borderId="1" xfId="0" applyFill="1" applyBorder="1"/>
    <xf numFmtId="0" fontId="0" fillId="14" borderId="1" xfId="0" applyFill="1" applyBorder="1"/>
    <xf numFmtId="0" fontId="0" fillId="13" borderId="1" xfId="0" applyFill="1" applyBorder="1"/>
    <xf numFmtId="0" fontId="0" fillId="15" borderId="1" xfId="0" applyFill="1" applyBorder="1"/>
    <xf numFmtId="0" fontId="3" fillId="5" borderId="1" xfId="0" applyFont="1" applyFill="1" applyBorder="1"/>
    <xf numFmtId="0" fontId="0" fillId="8" borderId="1" xfId="0" applyFill="1" applyBorder="1"/>
    <xf numFmtId="0" fontId="0" fillId="2" borderId="1" xfId="0" applyFill="1" applyBorder="1"/>
    <xf numFmtId="0" fontId="0" fillId="4" borderId="1" xfId="0" applyFill="1" applyBorder="1"/>
    <xf numFmtId="0" fontId="3" fillId="4" borderId="1" xfId="0" applyFont="1" applyFill="1" applyBorder="1"/>
    <xf numFmtId="0" fontId="3" fillId="5" borderId="1" xfId="1" applyFont="1" applyFill="1" applyBorder="1"/>
    <xf numFmtId="164" fontId="0" fillId="5" borderId="1" xfId="0" applyNumberFormat="1" applyFill="1" applyBorder="1" applyAlignment="1">
      <alignment wrapText="1"/>
    </xf>
    <xf numFmtId="0" fontId="0" fillId="6" borderId="1" xfId="0" applyFill="1" applyBorder="1"/>
    <xf numFmtId="0" fontId="3" fillId="2" borderId="1" xfId="0" applyFont="1" applyFill="1" applyBorder="1"/>
    <xf numFmtId="0" fontId="2" fillId="16" borderId="1" xfId="0" applyFont="1" applyFill="1" applyBorder="1"/>
    <xf numFmtId="0" fontId="0" fillId="16" borderId="1" xfId="0" applyFill="1" applyBorder="1"/>
    <xf numFmtId="0" fontId="2" fillId="8" borderId="1" xfId="0" applyFont="1" applyFill="1" applyBorder="1"/>
    <xf numFmtId="0" fontId="2" fillId="18" borderId="1" xfId="0" applyFont="1" applyFill="1" applyBorder="1"/>
    <xf numFmtId="0" fontId="0" fillId="18" borderId="1" xfId="0" applyFill="1" applyBorder="1"/>
    <xf numFmtId="0" fontId="0" fillId="18" borderId="0" xfId="0" applyFill="1"/>
    <xf numFmtId="0" fontId="2" fillId="4" borderId="1" xfId="0" applyFont="1" applyFill="1" applyBorder="1"/>
    <xf numFmtId="0" fontId="2" fillId="19" borderId="1" xfId="0" applyFont="1" applyFill="1" applyBorder="1"/>
    <xf numFmtId="0" fontId="0" fillId="19" borderId="1" xfId="0" applyFill="1" applyBorder="1"/>
    <xf numFmtId="0" fontId="0" fillId="5" borderId="2" xfId="0" applyFill="1" applyBorder="1"/>
    <xf numFmtId="0" fontId="0" fillId="8" borderId="2" xfId="0" applyFill="1" applyBorder="1"/>
    <xf numFmtId="0" fontId="0" fillId="10" borderId="2" xfId="0" applyFill="1" applyBorder="1"/>
    <xf numFmtId="0" fontId="0" fillId="7" borderId="2" xfId="0" applyFill="1" applyBorder="1"/>
    <xf numFmtId="0" fontId="0" fillId="12" borderId="2" xfId="0" applyFill="1" applyBorder="1"/>
    <xf numFmtId="0" fontId="0" fillId="16" borderId="2" xfId="0" applyFill="1" applyBorder="1"/>
    <xf numFmtId="0" fontId="0" fillId="14" borderId="2" xfId="0" applyFill="1" applyBorder="1"/>
    <xf numFmtId="0" fontId="0" fillId="13" borderId="2" xfId="0" applyFill="1" applyBorder="1"/>
    <xf numFmtId="0" fontId="0" fillId="18" borderId="2" xfId="0" applyFill="1" applyBorder="1"/>
    <xf numFmtId="0" fontId="0" fillId="4" borderId="2" xfId="0" applyFill="1" applyBorder="1"/>
    <xf numFmtId="0" fontId="0" fillId="15" borderId="2" xfId="0" applyFill="1" applyBorder="1"/>
    <xf numFmtId="0" fontId="0" fillId="19" borderId="2" xfId="0" applyFill="1" applyBorder="1"/>
    <xf numFmtId="0" fontId="0" fillId="0" borderId="0" xfId="0" applyFill="1" applyBorder="1"/>
    <xf numFmtId="0" fontId="0" fillId="8" borderId="0" xfId="0" applyFill="1"/>
    <xf numFmtId="0" fontId="0" fillId="10" borderId="0" xfId="0" applyFill="1"/>
    <xf numFmtId="0" fontId="0" fillId="12" borderId="0" xfId="0" applyFill="1"/>
    <xf numFmtId="0" fontId="0" fillId="11" borderId="0" xfId="0" applyFill="1"/>
    <xf numFmtId="0" fontId="0" fillId="14" borderId="0" xfId="0" applyFill="1"/>
    <xf numFmtId="0" fontId="0" fillId="17" borderId="0" xfId="0" applyFill="1"/>
    <xf numFmtId="0" fontId="0" fillId="13" borderId="0" xfId="0" applyFill="1"/>
    <xf numFmtId="0" fontId="0" fillId="3" borderId="0" xfId="0" applyFill="1"/>
    <xf numFmtId="0" fontId="2" fillId="15" borderId="0" xfId="0" applyFont="1" applyFill="1"/>
    <xf numFmtId="0" fontId="0" fillId="20" borderId="0" xfId="0" applyFill="1"/>
    <xf numFmtId="0" fontId="2" fillId="20" borderId="3" xfId="0" applyFont="1" applyFill="1" applyBorder="1"/>
    <xf numFmtId="0" fontId="0" fillId="20" borderId="3" xfId="0" applyFill="1" applyBorder="1"/>
    <xf numFmtId="0" fontId="2" fillId="17" borderId="4" xfId="0" applyFont="1" applyFill="1" applyBorder="1"/>
    <xf numFmtId="0" fontId="0" fillId="17" borderId="4" xfId="0" applyFill="1" applyBorder="1"/>
    <xf numFmtId="0" fontId="0" fillId="17" borderId="5" xfId="0" applyFill="1" applyBorder="1"/>
    <xf numFmtId="0" fontId="0" fillId="0" borderId="0" xfId="0" applyBorder="1"/>
    <xf numFmtId="0" fontId="0" fillId="21" borderId="0" xfId="0" applyFill="1"/>
    <xf numFmtId="0" fontId="4" fillId="0" borderId="1" xfId="0" applyFont="1" applyFill="1" applyBorder="1"/>
    <xf numFmtId="0" fontId="3" fillId="0" borderId="1" xfId="0" applyFont="1" applyFill="1" applyBorder="1"/>
    <xf numFmtId="0" fontId="3" fillId="0" borderId="0" xfId="0" applyFont="1" applyFill="1" applyBorder="1"/>
    <xf numFmtId="0" fontId="3" fillId="7" borderId="1" xfId="0" applyFont="1" applyFill="1" applyBorder="1"/>
    <xf numFmtId="0" fontId="3" fillId="9" borderId="1" xfId="0" applyFont="1" applyFill="1" applyBorder="1"/>
    <xf numFmtId="0" fontId="3" fillId="0" borderId="1" xfId="1" applyFont="1" applyFill="1" applyBorder="1"/>
    <xf numFmtId="0" fontId="3" fillId="12" borderId="1" xfId="0" applyFont="1" applyFill="1" applyBorder="1"/>
    <xf numFmtId="0" fontId="3" fillId="12" borderId="1" xfId="1" applyFont="1" applyFill="1" applyBorder="1"/>
    <xf numFmtId="0" fontId="3" fillId="23" borderId="1" xfId="0" applyFont="1" applyFill="1" applyBorder="1"/>
    <xf numFmtId="0" fontId="3" fillId="14" borderId="1" xfId="0" applyFont="1" applyFill="1" applyBorder="1"/>
    <xf numFmtId="0" fontId="3" fillId="24" borderId="1" xfId="1" applyFont="1" applyFill="1" applyBorder="1"/>
    <xf numFmtId="0" fontId="3" fillId="7" borderId="1" xfId="1" applyFont="1" applyFill="1" applyBorder="1"/>
    <xf numFmtId="0" fontId="3" fillId="9" borderId="1" xfId="1" applyFont="1" applyFill="1" applyBorder="1"/>
    <xf numFmtId="0" fontId="3" fillId="22" borderId="1" xfId="1" applyFont="1" applyFill="1" applyBorder="1"/>
    <xf numFmtId="0" fontId="3" fillId="22" borderId="1" xfId="0" applyFont="1" applyFill="1" applyBorder="1"/>
    <xf numFmtId="0" fontId="3" fillId="25" borderId="1" xfId="0" applyFont="1" applyFill="1" applyBorder="1"/>
    <xf numFmtId="0" fontId="3" fillId="26" borderId="1" xfId="1" applyFont="1" applyFill="1" applyBorder="1"/>
    <xf numFmtId="0" fontId="2" fillId="0" borderId="0" xfId="0" applyFont="1" applyFill="1"/>
    <xf numFmtId="9" fontId="3" fillId="25" borderId="1" xfId="2" applyFont="1" applyFill="1" applyBorder="1"/>
    <xf numFmtId="0" fontId="3" fillId="26" borderId="1" xfId="0" applyFont="1" applyFill="1" applyBorder="1"/>
    <xf numFmtId="0" fontId="3" fillId="19" borderId="1" xfId="0" applyFont="1" applyFill="1" applyBorder="1"/>
    <xf numFmtId="0" fontId="3" fillId="19" borderId="1" xfId="1" applyFont="1" applyFill="1" applyBorder="1"/>
    <xf numFmtId="0" fontId="6" fillId="19" borderId="1" xfId="0" applyFont="1" applyFill="1" applyBorder="1"/>
    <xf numFmtId="0" fontId="3" fillId="17" borderId="1" xfId="0" applyFont="1" applyFill="1" applyBorder="1"/>
    <xf numFmtId="0" fontId="3" fillId="10" borderId="1" xfId="0" applyFont="1" applyFill="1" applyBorder="1"/>
    <xf numFmtId="0" fontId="6" fillId="12" borderId="1" xfId="0" applyFont="1" applyFill="1" applyBorder="1"/>
    <xf numFmtId="0" fontId="7" fillId="0" borderId="1" xfId="0" applyFont="1" applyBorder="1"/>
    <xf numFmtId="0" fontId="8" fillId="5" borderId="1" xfId="0" applyFont="1" applyFill="1" applyBorder="1"/>
    <xf numFmtId="0" fontId="8" fillId="4" borderId="1" xfId="0" applyFont="1" applyFill="1" applyBorder="1"/>
    <xf numFmtId="0" fontId="6" fillId="4" borderId="1" xfId="0" applyFont="1" applyFill="1" applyBorder="1"/>
    <xf numFmtId="164" fontId="3" fillId="5" borderId="1" xfId="0" applyNumberFormat="1" applyFont="1" applyFill="1" applyBorder="1" applyAlignment="1">
      <alignment wrapText="1"/>
    </xf>
    <xf numFmtId="0" fontId="3" fillId="6" borderId="1" xfId="0" applyFont="1" applyFill="1" applyBorder="1"/>
    <xf numFmtId="0" fontId="8" fillId="2" borderId="1" xfId="0" applyFont="1" applyFill="1" applyBorder="1"/>
    <xf numFmtId="0" fontId="3" fillId="0" borderId="0" xfId="0" applyFont="1" applyBorder="1"/>
    <xf numFmtId="0" fontId="3" fillId="4" borderId="1" xfId="1" applyFont="1" applyFill="1" applyBorder="1"/>
    <xf numFmtId="0" fontId="3" fillId="3" borderId="1" xfId="1" applyFont="1" applyFill="1" applyBorder="1"/>
    <xf numFmtId="0" fontId="3" fillId="0" borderId="1" xfId="1" applyFont="1" applyBorder="1"/>
  </cellXfs>
  <cellStyles count="3">
    <cellStyle name="Lien hypertexte" xfId="1" builtinId="8"/>
    <cellStyle name="Normal" xfId="0" builtinId="0"/>
    <cellStyle name="Pourcentage" xfId="2" builtinId="5"/>
  </cellStyles>
  <dxfs count="0"/>
  <tableStyles count="0" defaultTableStyle="TableStyleMedium2" defaultPivotStyle="PivotStyleLight16"/>
  <colors>
    <mruColors>
      <color rgb="FFDF7FC6"/>
      <color rgb="FF99CC00"/>
      <color rgb="FF66CCFF"/>
      <color rgb="FF99FFCC"/>
      <color rgb="FF9966FF"/>
      <color rgb="FFCC6600"/>
      <color rgb="FFCCFF33"/>
      <color rgb="FF00FFFF"/>
      <color rgb="FF00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oi.org/10.1038/s41598-020-79942-3" TargetMode="External"/><Relationship Id="rId13" Type="http://schemas.openxmlformats.org/officeDocument/2006/relationships/hyperlink" Target="https://doi.org/10.3161/000164507783516791" TargetMode="External"/><Relationship Id="rId18" Type="http://schemas.openxmlformats.org/officeDocument/2006/relationships/hyperlink" Target="https://doi.org/10.1002/ece3.5753" TargetMode="External"/><Relationship Id="rId3" Type="http://schemas.openxmlformats.org/officeDocument/2006/relationships/hyperlink" Target="https://doi.org/10.1098/rspb.2000.1023" TargetMode="External"/><Relationship Id="rId21" Type="http://schemas.openxmlformats.org/officeDocument/2006/relationships/hyperlink" Target="https://doi.org/10.1674/0003-0031-163.2.366" TargetMode="External"/><Relationship Id="rId7" Type="http://schemas.openxmlformats.org/officeDocument/2006/relationships/hyperlink" Target="https://www.webofscience.com/wos/author/record/3831527" TargetMode="External"/><Relationship Id="rId12" Type="http://schemas.openxmlformats.org/officeDocument/2006/relationships/hyperlink" Target="https://doi.org/10.1676/07-025.1" TargetMode="External"/><Relationship Id="rId17" Type="http://schemas.openxmlformats.org/officeDocument/2006/relationships/hyperlink" Target="https://doi.org/10.1111/j.1469-7998.2011.00857.x" TargetMode="External"/><Relationship Id="rId2" Type="http://schemas.openxmlformats.org/officeDocument/2006/relationships/hyperlink" Target="https://doi.org/10.1126/science.1072838" TargetMode="External"/><Relationship Id="rId16" Type="http://schemas.openxmlformats.org/officeDocument/2006/relationships/hyperlink" Target="https://doi.org/10.1016/j.anbehav.2013.05.005" TargetMode="External"/><Relationship Id="rId20" Type="http://schemas.openxmlformats.org/officeDocument/2006/relationships/hyperlink" Target="https://doi.org/10.1093/cz/zoac002" TargetMode="External"/><Relationship Id="rId1" Type="http://schemas.openxmlformats.org/officeDocument/2006/relationships/hyperlink" Target="https://doi.org/10.1111/ibi.12217" TargetMode="External"/><Relationship Id="rId6" Type="http://schemas.openxmlformats.org/officeDocument/2006/relationships/hyperlink" Target="http://www.jstor.org/stable/1381839" TargetMode="External"/><Relationship Id="rId11" Type="http://schemas.openxmlformats.org/officeDocument/2006/relationships/hyperlink" Target="https://doi.org/10.1002/ecs2.4072" TargetMode="External"/><Relationship Id="rId5" Type="http://schemas.openxmlformats.org/officeDocument/2006/relationships/hyperlink" Target="https://doi.org/10.1093/auk/121.2.486" TargetMode="External"/><Relationship Id="rId15" Type="http://schemas.openxmlformats.org/officeDocument/2006/relationships/hyperlink" Target="https://doi.org/10.1016/j.mambio.2018.08.003" TargetMode="External"/><Relationship Id="rId23" Type="http://schemas.openxmlformats.org/officeDocument/2006/relationships/printerSettings" Target="../printerSettings/printerSettings1.bin"/><Relationship Id="rId10" Type="http://schemas.openxmlformats.org/officeDocument/2006/relationships/hyperlink" Target="https://doi.org/10.1016/j.anbehav.2006.02.010" TargetMode="External"/><Relationship Id="rId19" Type="http://schemas.openxmlformats.org/officeDocument/2006/relationships/hyperlink" Target="https://doi.org/10.1016/j.foreco.2018.10.017" TargetMode="External"/><Relationship Id="rId4" Type="http://schemas.openxmlformats.org/officeDocument/2006/relationships/hyperlink" Target="https://doi.org/10.1111/ibi.12967" TargetMode="External"/><Relationship Id="rId9" Type="http://schemas.openxmlformats.org/officeDocument/2006/relationships/hyperlink" Target="https://doi.org/10.1016/j.anbehav.2016.03.023" TargetMode="External"/><Relationship Id="rId14" Type="http://schemas.openxmlformats.org/officeDocument/2006/relationships/hyperlink" Target="https://doi.org/10.1111/j.1557-9263.2009.00243.x" TargetMode="External"/><Relationship Id="rId22" Type="http://schemas.openxmlformats.org/officeDocument/2006/relationships/hyperlink" Target="https://doi.org/10.3398/1527-0904(2007)67%5b102:DAEMOS%5d2.0.CO;2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A6C70-8507-4B4A-8FF8-89379E8F198D}">
  <dimension ref="A1:DS125"/>
  <sheetViews>
    <sheetView tabSelected="1" zoomScale="70" zoomScaleNormal="70" workbookViewId="0">
      <pane xSplit="12" ySplit="27" topLeftCell="M28" activePane="bottomRight" state="frozen"/>
      <selection pane="topRight" activeCell="L1" sqref="L1"/>
      <selection pane="bottomLeft" activeCell="A28" sqref="A28"/>
      <selection pane="bottomRight" activeCell="O5" sqref="O5:O121"/>
    </sheetView>
  </sheetViews>
  <sheetFormatPr baseColWidth="10" defaultRowHeight="15" x14ac:dyDescent="0.25"/>
  <cols>
    <col min="1" max="1" width="8.140625" style="101" bestFit="1" customWidth="1"/>
    <col min="2" max="2" width="31" style="101" customWidth="1"/>
    <col min="3" max="3" width="15.7109375" style="101" bestFit="1" customWidth="1"/>
    <col min="4" max="4" width="10.28515625" style="101" customWidth="1"/>
    <col min="5" max="5" width="18.5703125" style="101" customWidth="1"/>
    <col min="6" max="6" width="28.140625" style="101" customWidth="1"/>
    <col min="7" max="7" width="36.7109375" style="101" customWidth="1"/>
    <col min="8" max="8" width="10.5703125" style="101" bestFit="1" customWidth="1"/>
    <col min="9" max="9" width="17.42578125" style="101" customWidth="1"/>
    <col min="10" max="10" width="7.85546875" style="101" customWidth="1"/>
    <col min="11" max="11" width="14.85546875" style="101" customWidth="1"/>
    <col min="12" max="12" width="14.42578125" style="101" bestFit="1" customWidth="1"/>
    <col min="13" max="13" width="12.140625" style="101" customWidth="1"/>
    <col min="14" max="14" width="7.85546875" style="101" customWidth="1"/>
    <col min="15" max="15" width="4.140625" style="101" customWidth="1"/>
    <col min="16" max="16" width="31.5703125" style="101" customWidth="1"/>
    <col min="17" max="17" width="15" style="101" bestFit="1" customWidth="1"/>
    <col min="18" max="18" width="38.85546875" style="70" customWidth="1"/>
    <col min="19" max="19" width="9.5703125" style="70" bestFit="1" customWidth="1"/>
    <col min="20" max="20" width="27.28515625" style="70" bestFit="1" customWidth="1"/>
    <col min="21" max="27" width="11.42578125" style="50"/>
    <col min="28" max="123" width="11.42578125" style="3"/>
  </cols>
  <sheetData>
    <row r="1" spans="1:123" s="1" customFormat="1" x14ac:dyDescent="0.25">
      <c r="A1" s="12" t="s">
        <v>6</v>
      </c>
      <c r="B1" s="12" t="s">
        <v>350</v>
      </c>
      <c r="C1" s="12" t="s">
        <v>638</v>
      </c>
      <c r="D1" s="12" t="s">
        <v>3</v>
      </c>
      <c r="E1" s="12" t="s">
        <v>42</v>
      </c>
      <c r="F1" s="12" t="s">
        <v>0</v>
      </c>
      <c r="G1" s="94" t="s">
        <v>588</v>
      </c>
      <c r="H1" s="12" t="s">
        <v>583</v>
      </c>
      <c r="I1" s="12" t="s">
        <v>7</v>
      </c>
      <c r="J1" s="12" t="s">
        <v>25</v>
      </c>
      <c r="K1" s="12" t="s">
        <v>26</v>
      </c>
      <c r="L1" s="12" t="s">
        <v>138</v>
      </c>
      <c r="M1" s="12" t="s">
        <v>1</v>
      </c>
      <c r="N1" s="12" t="s">
        <v>4</v>
      </c>
      <c r="O1" s="12" t="s">
        <v>584</v>
      </c>
      <c r="P1" s="12" t="s">
        <v>639</v>
      </c>
      <c r="Q1" s="12" t="s">
        <v>601</v>
      </c>
      <c r="R1" s="12" t="s">
        <v>654</v>
      </c>
      <c r="S1" s="68" t="s">
        <v>607</v>
      </c>
      <c r="T1" s="68" t="s">
        <v>603</v>
      </c>
      <c r="U1" s="85"/>
      <c r="V1" s="85"/>
      <c r="W1" s="85"/>
      <c r="X1" s="85"/>
      <c r="Y1" s="85"/>
      <c r="Z1" s="85"/>
      <c r="AA1" s="85"/>
      <c r="AB1" s="85"/>
      <c r="AC1" s="85"/>
      <c r="AD1" s="85"/>
      <c r="AE1" s="85"/>
      <c r="AF1" s="85"/>
      <c r="AG1" s="85"/>
      <c r="AH1" s="85"/>
      <c r="AI1" s="85"/>
      <c r="AJ1" s="85"/>
      <c r="AK1" s="85"/>
      <c r="AL1" s="85"/>
      <c r="AM1" s="85"/>
      <c r="AN1" s="85"/>
      <c r="AO1" s="85"/>
      <c r="AP1" s="85"/>
      <c r="AQ1" s="85"/>
      <c r="AR1" s="85"/>
      <c r="AS1" s="85"/>
      <c r="AT1" s="85"/>
      <c r="AU1" s="85"/>
      <c r="AV1" s="85"/>
      <c r="AW1" s="85"/>
      <c r="AX1" s="85"/>
      <c r="AY1" s="85"/>
      <c r="AZ1" s="85"/>
      <c r="BA1" s="85"/>
      <c r="BB1" s="85"/>
      <c r="BC1" s="85"/>
      <c r="BD1" s="85"/>
      <c r="BE1" s="85"/>
      <c r="BF1" s="85"/>
      <c r="BG1" s="85"/>
      <c r="BH1" s="85"/>
      <c r="BI1" s="85"/>
      <c r="BJ1" s="85"/>
      <c r="BK1" s="85"/>
      <c r="BL1" s="85"/>
      <c r="BM1" s="85"/>
      <c r="BN1" s="85"/>
      <c r="BO1" s="85"/>
      <c r="BP1" s="85"/>
      <c r="BQ1" s="85"/>
      <c r="BR1" s="85"/>
      <c r="BS1" s="85"/>
      <c r="BT1" s="85"/>
      <c r="BU1" s="85"/>
      <c r="BV1" s="85"/>
      <c r="BW1" s="85"/>
      <c r="BX1" s="85"/>
      <c r="BY1" s="85"/>
      <c r="BZ1" s="85"/>
      <c r="CA1" s="85"/>
      <c r="CB1" s="85"/>
      <c r="CC1" s="85"/>
      <c r="CD1" s="85"/>
      <c r="CE1" s="85"/>
      <c r="CF1" s="85"/>
      <c r="CG1" s="85"/>
      <c r="CH1" s="85"/>
      <c r="CI1" s="85"/>
      <c r="CJ1" s="85"/>
      <c r="CK1" s="85"/>
      <c r="CL1" s="85"/>
      <c r="CM1" s="85"/>
      <c r="CN1" s="85"/>
      <c r="CO1" s="85"/>
      <c r="CP1" s="85"/>
      <c r="CQ1" s="85"/>
      <c r="CR1" s="85"/>
      <c r="CS1" s="85"/>
      <c r="CT1" s="85"/>
      <c r="CU1" s="85"/>
      <c r="CV1" s="85"/>
      <c r="CW1" s="85"/>
      <c r="CX1" s="85"/>
      <c r="CY1" s="85"/>
      <c r="CZ1" s="85"/>
      <c r="DA1" s="85"/>
      <c r="DB1" s="85"/>
      <c r="DC1" s="85"/>
      <c r="DD1" s="85"/>
      <c r="DE1" s="85"/>
      <c r="DF1" s="85"/>
      <c r="DG1" s="85"/>
      <c r="DH1" s="85"/>
      <c r="DI1" s="85"/>
      <c r="DJ1" s="85"/>
      <c r="DK1" s="85"/>
      <c r="DL1" s="85"/>
      <c r="DM1" s="85"/>
      <c r="DN1" s="85"/>
      <c r="DO1" s="85"/>
      <c r="DP1" s="85"/>
      <c r="DQ1" s="85"/>
      <c r="DR1" s="85"/>
      <c r="DS1" s="85"/>
    </row>
    <row r="2" spans="1:123" x14ac:dyDescent="0.25">
      <c r="A2" s="20">
        <v>1</v>
      </c>
      <c r="B2" s="20" t="s">
        <v>385</v>
      </c>
      <c r="C2" s="20" t="s">
        <v>222</v>
      </c>
      <c r="D2" s="20">
        <v>2004</v>
      </c>
      <c r="E2" s="20" t="s">
        <v>168</v>
      </c>
      <c r="F2" s="20" t="s">
        <v>223</v>
      </c>
      <c r="G2" s="95" t="s">
        <v>224</v>
      </c>
      <c r="H2" s="20" t="s">
        <v>17</v>
      </c>
      <c r="I2" s="20" t="s">
        <v>15</v>
      </c>
      <c r="J2" s="20" t="s">
        <v>59</v>
      </c>
      <c r="K2" s="20" t="s">
        <v>28</v>
      </c>
      <c r="L2" s="20" t="s">
        <v>139</v>
      </c>
      <c r="M2" s="20" t="s">
        <v>20</v>
      </c>
      <c r="N2" s="20" t="s">
        <v>9</v>
      </c>
      <c r="O2" s="20" t="s">
        <v>21</v>
      </c>
      <c r="P2" s="20" t="s">
        <v>602</v>
      </c>
      <c r="Q2" s="20" t="s">
        <v>587</v>
      </c>
      <c r="R2" s="20" t="s">
        <v>634</v>
      </c>
      <c r="S2" s="69" t="s">
        <v>22</v>
      </c>
      <c r="T2" s="74" t="s">
        <v>685</v>
      </c>
      <c r="U2" s="3"/>
      <c r="V2" s="3"/>
      <c r="W2" s="3"/>
      <c r="X2" s="3"/>
      <c r="Y2" s="3"/>
      <c r="Z2" s="3"/>
      <c r="AA2" s="3"/>
    </row>
    <row r="3" spans="1:123" x14ac:dyDescent="0.25">
      <c r="A3" s="20">
        <v>2</v>
      </c>
      <c r="B3" s="20" t="s">
        <v>364</v>
      </c>
      <c r="C3" s="20" t="s">
        <v>167</v>
      </c>
      <c r="D3" s="20">
        <v>2008</v>
      </c>
      <c r="E3" s="20" t="s">
        <v>101</v>
      </c>
      <c r="F3" s="20" t="s">
        <v>166</v>
      </c>
      <c r="G3" s="95" t="s">
        <v>330</v>
      </c>
      <c r="H3" s="20" t="s">
        <v>17</v>
      </c>
      <c r="I3" s="20" t="s">
        <v>18</v>
      </c>
      <c r="J3" s="20" t="s">
        <v>9</v>
      </c>
      <c r="K3" s="20" t="s">
        <v>28</v>
      </c>
      <c r="L3" s="20" t="s">
        <v>140</v>
      </c>
      <c r="M3" s="20" t="s">
        <v>29</v>
      </c>
      <c r="N3" s="20" t="s">
        <v>21</v>
      </c>
      <c r="O3" s="20" t="s">
        <v>21</v>
      </c>
      <c r="P3" s="20" t="s">
        <v>297</v>
      </c>
      <c r="Q3" s="20" t="s">
        <v>587</v>
      </c>
      <c r="R3" s="20" t="s">
        <v>720</v>
      </c>
      <c r="S3" s="88" t="s">
        <v>22</v>
      </c>
      <c r="T3" s="87" t="s">
        <v>684</v>
      </c>
      <c r="U3" s="3"/>
      <c r="V3" s="3"/>
      <c r="W3" s="3"/>
      <c r="X3" s="3"/>
      <c r="Y3" s="3"/>
      <c r="Z3" s="3"/>
      <c r="AA3" s="3"/>
    </row>
    <row r="4" spans="1:123" x14ac:dyDescent="0.25">
      <c r="A4" s="20">
        <v>3</v>
      </c>
      <c r="B4" s="20" t="s">
        <v>386</v>
      </c>
      <c r="C4" s="20" t="s">
        <v>236</v>
      </c>
      <c r="D4" s="20">
        <v>1997</v>
      </c>
      <c r="E4" s="20" t="s">
        <v>101</v>
      </c>
      <c r="F4" s="20" t="s">
        <v>237</v>
      </c>
      <c r="G4" s="95" t="s">
        <v>238</v>
      </c>
      <c r="H4" s="20" t="s">
        <v>239</v>
      </c>
      <c r="I4" s="20" t="s">
        <v>128</v>
      </c>
      <c r="J4" s="20" t="s">
        <v>9</v>
      </c>
      <c r="K4" s="20" t="s">
        <v>28</v>
      </c>
      <c r="L4" s="20" t="s">
        <v>139</v>
      </c>
      <c r="M4" s="20" t="s">
        <v>53</v>
      </c>
      <c r="N4" s="20" t="s">
        <v>9</v>
      </c>
      <c r="O4" s="20" t="s">
        <v>21</v>
      </c>
      <c r="P4" s="20" t="s">
        <v>315</v>
      </c>
      <c r="Q4" s="20" t="s">
        <v>587</v>
      </c>
      <c r="R4" s="20" t="s">
        <v>605</v>
      </c>
      <c r="S4" s="69"/>
      <c r="T4" s="69"/>
      <c r="U4" s="3"/>
      <c r="V4" s="3"/>
      <c r="W4" s="3"/>
      <c r="X4" s="3"/>
      <c r="Y4" s="3"/>
      <c r="Z4" s="3"/>
      <c r="AA4" s="3"/>
    </row>
    <row r="5" spans="1:123" x14ac:dyDescent="0.25">
      <c r="A5" s="20">
        <v>4</v>
      </c>
      <c r="B5" s="20" t="s">
        <v>22</v>
      </c>
      <c r="C5" s="20" t="s">
        <v>240</v>
      </c>
      <c r="D5" s="20">
        <v>2014</v>
      </c>
      <c r="E5" s="20" t="s">
        <v>241</v>
      </c>
      <c r="F5" s="20" t="s">
        <v>91</v>
      </c>
      <c r="G5" s="95" t="s">
        <v>142</v>
      </c>
      <c r="H5" s="20" t="s">
        <v>30</v>
      </c>
      <c r="I5" s="20" t="s">
        <v>242</v>
      </c>
      <c r="J5" s="20" t="s">
        <v>9</v>
      </c>
      <c r="K5" s="20" t="s">
        <v>27</v>
      </c>
      <c r="L5" s="20" t="s">
        <v>140</v>
      </c>
      <c r="M5" s="20" t="s">
        <v>19</v>
      </c>
      <c r="N5" s="20" t="s">
        <v>9</v>
      </c>
      <c r="O5" s="20" t="s">
        <v>9</v>
      </c>
      <c r="P5" s="20" t="s">
        <v>243</v>
      </c>
      <c r="Q5" s="20" t="s">
        <v>587</v>
      </c>
      <c r="R5" s="20" t="s">
        <v>606</v>
      </c>
      <c r="S5" s="69"/>
      <c r="T5" s="69"/>
      <c r="U5" s="3"/>
      <c r="V5" s="3"/>
      <c r="W5" s="3"/>
      <c r="X5" s="3"/>
      <c r="Y5" s="3"/>
      <c r="Z5" s="3"/>
      <c r="AA5" s="3"/>
    </row>
    <row r="6" spans="1:123" x14ac:dyDescent="0.25">
      <c r="A6" s="20">
        <v>5</v>
      </c>
      <c r="B6" s="20" t="s">
        <v>582</v>
      </c>
      <c r="C6" s="20" t="s">
        <v>504</v>
      </c>
      <c r="D6" s="20">
        <v>2009</v>
      </c>
      <c r="E6" s="20" t="s">
        <v>49</v>
      </c>
      <c r="F6" s="20" t="s">
        <v>487</v>
      </c>
      <c r="G6" s="95" t="s">
        <v>488</v>
      </c>
      <c r="H6" s="20" t="s">
        <v>116</v>
      </c>
      <c r="I6" s="20" t="s">
        <v>129</v>
      </c>
      <c r="J6" s="20" t="s">
        <v>21</v>
      </c>
      <c r="K6" s="20" t="s">
        <v>28</v>
      </c>
      <c r="L6" s="20" t="s">
        <v>140</v>
      </c>
      <c r="M6" s="20" t="s">
        <v>20</v>
      </c>
      <c r="N6" s="20" t="s">
        <v>9</v>
      </c>
      <c r="O6" s="20" t="s">
        <v>21</v>
      </c>
      <c r="P6" s="20" t="s">
        <v>505</v>
      </c>
      <c r="Q6" s="20" t="s">
        <v>587</v>
      </c>
      <c r="R6" s="20" t="s">
        <v>607</v>
      </c>
      <c r="S6" s="72" t="s">
        <v>683</v>
      </c>
      <c r="T6" s="88" t="s">
        <v>22</v>
      </c>
      <c r="U6" s="3"/>
      <c r="V6" s="3"/>
      <c r="W6" s="3"/>
      <c r="X6" s="3"/>
      <c r="Y6" s="3"/>
      <c r="Z6" s="3"/>
      <c r="AA6" s="3"/>
    </row>
    <row r="7" spans="1:123" x14ac:dyDescent="0.25">
      <c r="A7" s="20">
        <v>6</v>
      </c>
      <c r="B7" s="20" t="s">
        <v>381</v>
      </c>
      <c r="C7" s="20" t="s">
        <v>251</v>
      </c>
      <c r="D7" s="20">
        <v>2020</v>
      </c>
      <c r="E7" s="20" t="s">
        <v>71</v>
      </c>
      <c r="F7" s="20" t="s">
        <v>252</v>
      </c>
      <c r="G7" s="95" t="s">
        <v>253</v>
      </c>
      <c r="H7" s="20" t="s">
        <v>180</v>
      </c>
      <c r="I7" s="20" t="s">
        <v>250</v>
      </c>
      <c r="J7" s="20" t="s">
        <v>21</v>
      </c>
      <c r="K7" s="20" t="s">
        <v>189</v>
      </c>
      <c r="L7" s="20" t="s">
        <v>140</v>
      </c>
      <c r="M7" s="20" t="s">
        <v>20</v>
      </c>
      <c r="N7" s="20" t="s">
        <v>9</v>
      </c>
      <c r="O7" s="20" t="s">
        <v>21</v>
      </c>
      <c r="P7" s="20" t="s">
        <v>343</v>
      </c>
      <c r="Q7" s="20" t="s">
        <v>587</v>
      </c>
      <c r="R7" s="20" t="s">
        <v>652</v>
      </c>
      <c r="S7" s="69" t="s">
        <v>22</v>
      </c>
      <c r="T7" s="69" t="s">
        <v>728</v>
      </c>
      <c r="U7" s="3"/>
      <c r="V7" s="3"/>
      <c r="W7" s="3"/>
      <c r="X7" s="3"/>
      <c r="Y7" s="3"/>
      <c r="Z7" s="3"/>
      <c r="AA7" s="3"/>
    </row>
    <row r="8" spans="1:123" s="2" customFormat="1" x14ac:dyDescent="0.25">
      <c r="A8" s="20">
        <v>7</v>
      </c>
      <c r="B8" s="25" t="s">
        <v>519</v>
      </c>
      <c r="C8" s="20" t="s">
        <v>520</v>
      </c>
      <c r="D8" s="20">
        <v>2015</v>
      </c>
      <c r="E8" s="20" t="s">
        <v>96</v>
      </c>
      <c r="F8" s="20" t="s">
        <v>521</v>
      </c>
      <c r="G8" s="95" t="s">
        <v>522</v>
      </c>
      <c r="H8" s="20" t="s">
        <v>230</v>
      </c>
      <c r="I8" s="20" t="s">
        <v>250</v>
      </c>
      <c r="J8" s="20" t="s">
        <v>9</v>
      </c>
      <c r="K8" s="20" t="s">
        <v>28</v>
      </c>
      <c r="L8" s="20" t="s">
        <v>140</v>
      </c>
      <c r="M8" s="20" t="s">
        <v>70</v>
      </c>
      <c r="N8" s="20" t="s">
        <v>9</v>
      </c>
      <c r="O8" s="20" t="s">
        <v>9</v>
      </c>
      <c r="P8" s="20" t="s">
        <v>653</v>
      </c>
      <c r="Q8" s="20" t="s">
        <v>587</v>
      </c>
      <c r="R8" s="20" t="s">
        <v>604</v>
      </c>
      <c r="S8" s="89" t="s">
        <v>623</v>
      </c>
      <c r="T8" s="88" t="s">
        <v>623</v>
      </c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</row>
    <row r="9" spans="1:123" x14ac:dyDescent="0.25">
      <c r="A9" s="20">
        <v>8</v>
      </c>
      <c r="B9" s="25" t="s">
        <v>567</v>
      </c>
      <c r="C9" s="20" t="s">
        <v>566</v>
      </c>
      <c r="D9" s="20">
        <v>2019</v>
      </c>
      <c r="E9" s="20" t="s">
        <v>568</v>
      </c>
      <c r="F9" s="20" t="s">
        <v>569</v>
      </c>
      <c r="G9" s="95" t="s">
        <v>174</v>
      </c>
      <c r="H9" s="20" t="s">
        <v>116</v>
      </c>
      <c r="I9" s="20" t="s">
        <v>250</v>
      </c>
      <c r="J9" s="20" t="s">
        <v>21</v>
      </c>
      <c r="K9" s="20" t="s">
        <v>28</v>
      </c>
      <c r="L9" s="20" t="s">
        <v>140</v>
      </c>
      <c r="M9" s="20" t="s">
        <v>10</v>
      </c>
      <c r="N9" s="20" t="s">
        <v>9</v>
      </c>
      <c r="O9" s="20" t="s">
        <v>9</v>
      </c>
      <c r="P9" s="20" t="s">
        <v>570</v>
      </c>
      <c r="Q9" s="20" t="s">
        <v>587</v>
      </c>
      <c r="R9" s="20" t="s">
        <v>604</v>
      </c>
      <c r="S9" s="75" t="s">
        <v>686</v>
      </c>
      <c r="T9" s="75" t="s">
        <v>718</v>
      </c>
      <c r="U9" s="3"/>
      <c r="V9" s="3"/>
      <c r="W9" s="3"/>
      <c r="X9" s="3"/>
      <c r="Y9" s="3"/>
      <c r="Z9" s="3"/>
      <c r="AA9" s="3"/>
    </row>
    <row r="10" spans="1:123" x14ac:dyDescent="0.25">
      <c r="A10" s="20">
        <v>9</v>
      </c>
      <c r="B10" s="20" t="s">
        <v>387</v>
      </c>
      <c r="C10" s="20" t="s">
        <v>281</v>
      </c>
      <c r="D10" s="20">
        <v>2021</v>
      </c>
      <c r="E10" s="20" t="s">
        <v>282</v>
      </c>
      <c r="F10" s="20" t="s">
        <v>283</v>
      </c>
      <c r="G10" s="95" t="s">
        <v>284</v>
      </c>
      <c r="H10" s="20" t="s">
        <v>30</v>
      </c>
      <c r="I10" s="20" t="s">
        <v>435</v>
      </c>
      <c r="J10" s="20" t="s">
        <v>9</v>
      </c>
      <c r="K10" s="20" t="s">
        <v>27</v>
      </c>
      <c r="L10" s="20" t="s">
        <v>140</v>
      </c>
      <c r="M10" s="20" t="s">
        <v>136</v>
      </c>
      <c r="N10" s="20" t="s">
        <v>21</v>
      </c>
      <c r="O10" s="20" t="s">
        <v>21</v>
      </c>
      <c r="P10" s="20" t="s">
        <v>285</v>
      </c>
      <c r="Q10" s="20" t="s">
        <v>587</v>
      </c>
      <c r="R10" s="20" t="s">
        <v>606</v>
      </c>
      <c r="S10" s="69"/>
      <c r="T10" s="69"/>
      <c r="U10" s="3"/>
      <c r="V10" s="3"/>
      <c r="W10" s="3"/>
      <c r="X10" s="3"/>
      <c r="Y10" s="3"/>
      <c r="Z10" s="3"/>
      <c r="AA10" s="3"/>
    </row>
    <row r="11" spans="1:123" x14ac:dyDescent="0.25">
      <c r="A11" s="20">
        <v>10</v>
      </c>
      <c r="B11" s="20" t="s">
        <v>352</v>
      </c>
      <c r="C11" s="20" t="s">
        <v>61</v>
      </c>
      <c r="D11" s="20">
        <v>2016</v>
      </c>
      <c r="E11" s="20" t="s">
        <v>44</v>
      </c>
      <c r="F11" s="20" t="s">
        <v>5</v>
      </c>
      <c r="G11" s="95" t="s">
        <v>14</v>
      </c>
      <c r="H11" s="20" t="s">
        <v>30</v>
      </c>
      <c r="I11" s="20" t="s">
        <v>8</v>
      </c>
      <c r="J11" s="20" t="s">
        <v>9</v>
      </c>
      <c r="K11" s="20" t="s">
        <v>27</v>
      </c>
      <c r="L11" s="20" t="s">
        <v>140</v>
      </c>
      <c r="M11" s="20" t="s">
        <v>19</v>
      </c>
      <c r="N11" s="20" t="s">
        <v>9</v>
      </c>
      <c r="O11" s="20" t="s">
        <v>9</v>
      </c>
      <c r="P11" s="20" t="s">
        <v>158</v>
      </c>
      <c r="Q11" s="20" t="s">
        <v>587</v>
      </c>
      <c r="R11" s="20" t="s">
        <v>603</v>
      </c>
      <c r="S11" s="69" t="s">
        <v>22</v>
      </c>
      <c r="T11" s="74" t="s">
        <v>687</v>
      </c>
      <c r="U11" s="3"/>
      <c r="V11" s="3"/>
      <c r="W11" s="3"/>
      <c r="X11" s="3"/>
      <c r="Y11" s="3"/>
      <c r="Z11" s="3"/>
      <c r="AA11" s="3"/>
    </row>
    <row r="12" spans="1:123" x14ac:dyDescent="0.25">
      <c r="A12" s="20">
        <v>11</v>
      </c>
      <c r="B12" s="20" t="s">
        <v>388</v>
      </c>
      <c r="C12" s="20" t="s">
        <v>153</v>
      </c>
      <c r="D12" s="20">
        <v>1999</v>
      </c>
      <c r="E12" s="20" t="s">
        <v>96</v>
      </c>
      <c r="F12" s="20" t="s">
        <v>154</v>
      </c>
      <c r="G12" s="95" t="s">
        <v>155</v>
      </c>
      <c r="H12" s="20" t="s">
        <v>30</v>
      </c>
      <c r="I12" s="20" t="s">
        <v>156</v>
      </c>
      <c r="J12" s="20" t="s">
        <v>9</v>
      </c>
      <c r="K12" s="20" t="s">
        <v>27</v>
      </c>
      <c r="L12" s="20" t="s">
        <v>140</v>
      </c>
      <c r="M12" s="20" t="s">
        <v>29</v>
      </c>
      <c r="N12" s="20" t="s">
        <v>21</v>
      </c>
      <c r="O12" s="20" t="s">
        <v>21</v>
      </c>
      <c r="P12" s="20" t="s">
        <v>471</v>
      </c>
      <c r="Q12" s="20" t="s">
        <v>587</v>
      </c>
      <c r="R12" s="20" t="s">
        <v>603</v>
      </c>
      <c r="S12" s="69" t="s">
        <v>22</v>
      </c>
      <c r="T12" s="69" t="s">
        <v>697</v>
      </c>
      <c r="U12" s="3"/>
      <c r="V12" s="3"/>
      <c r="W12" s="3"/>
      <c r="X12" s="3"/>
      <c r="Y12" s="3"/>
      <c r="Z12" s="3"/>
      <c r="AA12" s="3"/>
    </row>
    <row r="13" spans="1:123" x14ac:dyDescent="0.25">
      <c r="A13" s="20">
        <v>12</v>
      </c>
      <c r="B13" s="20" t="s">
        <v>389</v>
      </c>
      <c r="C13" s="20" t="s">
        <v>152</v>
      </c>
      <c r="D13" s="20">
        <v>2004</v>
      </c>
      <c r="E13" s="20" t="s">
        <v>98</v>
      </c>
      <c r="F13" s="20" t="s">
        <v>183</v>
      </c>
      <c r="G13" s="95" t="s">
        <v>184</v>
      </c>
      <c r="H13" s="20" t="s">
        <v>185</v>
      </c>
      <c r="I13" s="20" t="s">
        <v>65</v>
      </c>
      <c r="J13" s="20" t="s">
        <v>9</v>
      </c>
      <c r="K13" s="20" t="s">
        <v>28</v>
      </c>
      <c r="L13" s="20" t="s">
        <v>139</v>
      </c>
      <c r="M13" s="20" t="s">
        <v>29</v>
      </c>
      <c r="N13" s="20" t="s">
        <v>21</v>
      </c>
      <c r="O13" s="20" t="s">
        <v>21</v>
      </c>
      <c r="P13" s="20" t="s">
        <v>186</v>
      </c>
      <c r="Q13" s="20" t="s">
        <v>587</v>
      </c>
      <c r="R13" s="20" t="s">
        <v>608</v>
      </c>
      <c r="S13" s="69"/>
      <c r="T13" s="69"/>
      <c r="U13" s="3"/>
      <c r="V13" s="3"/>
      <c r="W13" s="3"/>
      <c r="X13" s="3"/>
      <c r="Y13" s="3"/>
      <c r="Z13" s="3"/>
      <c r="AA13" s="3"/>
    </row>
    <row r="14" spans="1:123" x14ac:dyDescent="0.25">
      <c r="A14" s="20">
        <v>13</v>
      </c>
      <c r="B14" s="20" t="s">
        <v>484</v>
      </c>
      <c r="C14" s="20" t="s">
        <v>485</v>
      </c>
      <c r="D14" s="20">
        <v>2009</v>
      </c>
      <c r="E14" s="20" t="s">
        <v>486</v>
      </c>
      <c r="F14" s="20" t="s">
        <v>487</v>
      </c>
      <c r="G14" s="95" t="s">
        <v>488</v>
      </c>
      <c r="H14" s="20" t="s">
        <v>116</v>
      </c>
      <c r="I14" s="20" t="s">
        <v>129</v>
      </c>
      <c r="J14" s="20" t="s">
        <v>59</v>
      </c>
      <c r="K14" s="20" t="s">
        <v>28</v>
      </c>
      <c r="L14" s="20" t="s">
        <v>140</v>
      </c>
      <c r="M14" s="20" t="s">
        <v>70</v>
      </c>
      <c r="N14" s="20" t="s">
        <v>9</v>
      </c>
      <c r="O14" s="20" t="s">
        <v>9</v>
      </c>
      <c r="P14" s="20" t="s">
        <v>489</v>
      </c>
      <c r="Q14" s="20" t="s">
        <v>587</v>
      </c>
      <c r="R14" s="20" t="s">
        <v>605</v>
      </c>
      <c r="S14" s="69"/>
      <c r="T14" s="69"/>
      <c r="U14" s="3"/>
      <c r="V14" s="3"/>
      <c r="W14" s="3"/>
      <c r="X14" s="3"/>
      <c r="Y14" s="3"/>
      <c r="Z14" s="3"/>
      <c r="AA14" s="3"/>
    </row>
    <row r="15" spans="1:123" x14ac:dyDescent="0.25">
      <c r="A15" s="20">
        <v>14</v>
      </c>
      <c r="B15" s="20" t="s">
        <v>390</v>
      </c>
      <c r="C15" s="20" t="s">
        <v>64</v>
      </c>
      <c r="D15" s="20">
        <v>2010</v>
      </c>
      <c r="E15" s="20" t="s">
        <v>46</v>
      </c>
      <c r="F15" s="20" t="s">
        <v>132</v>
      </c>
      <c r="G15" s="95" t="s">
        <v>141</v>
      </c>
      <c r="H15" s="20" t="s">
        <v>116</v>
      </c>
      <c r="I15" s="20" t="s">
        <v>129</v>
      </c>
      <c r="J15" s="20" t="s">
        <v>9</v>
      </c>
      <c r="K15" s="20" t="s">
        <v>27</v>
      </c>
      <c r="L15" s="20" t="s">
        <v>139</v>
      </c>
      <c r="M15" s="20" t="s">
        <v>20</v>
      </c>
      <c r="N15" s="20" t="s">
        <v>9</v>
      </c>
      <c r="O15" s="20" t="s">
        <v>21</v>
      </c>
      <c r="P15" s="20" t="s">
        <v>158</v>
      </c>
      <c r="Q15" s="20" t="s">
        <v>587</v>
      </c>
      <c r="R15" s="20" t="s">
        <v>641</v>
      </c>
      <c r="S15" s="74" t="s">
        <v>686</v>
      </c>
      <c r="T15" s="74" t="s">
        <v>691</v>
      </c>
      <c r="U15" s="3"/>
      <c r="V15" s="3"/>
      <c r="W15" s="3"/>
      <c r="X15" s="3"/>
      <c r="Y15" s="3"/>
      <c r="Z15" s="3"/>
      <c r="AA15" s="3"/>
    </row>
    <row r="16" spans="1:123" x14ac:dyDescent="0.25">
      <c r="A16" s="20">
        <v>15</v>
      </c>
      <c r="B16" s="20" t="s">
        <v>391</v>
      </c>
      <c r="C16" s="20" t="s">
        <v>36</v>
      </c>
      <c r="D16" s="20">
        <v>2017</v>
      </c>
      <c r="E16" s="20" t="s">
        <v>46</v>
      </c>
      <c r="F16" s="20" t="s">
        <v>39</v>
      </c>
      <c r="G16" s="95" t="s">
        <v>40</v>
      </c>
      <c r="H16" s="20" t="s">
        <v>30</v>
      </c>
      <c r="I16" s="20" t="s">
        <v>210</v>
      </c>
      <c r="J16" s="20" t="s">
        <v>9</v>
      </c>
      <c r="K16" s="20" t="s">
        <v>27</v>
      </c>
      <c r="L16" s="20" t="s">
        <v>140</v>
      </c>
      <c r="M16" s="20" t="s">
        <v>10</v>
      </c>
      <c r="N16" s="20" t="s">
        <v>9</v>
      </c>
      <c r="O16" s="20" t="s">
        <v>9</v>
      </c>
      <c r="P16" s="20" t="s">
        <v>55</v>
      </c>
      <c r="Q16" s="20" t="s">
        <v>587</v>
      </c>
      <c r="R16" s="20" t="s">
        <v>604</v>
      </c>
      <c r="S16" s="71" t="s">
        <v>688</v>
      </c>
      <c r="T16" s="76" t="s">
        <v>689</v>
      </c>
      <c r="U16" s="3"/>
      <c r="V16" s="3"/>
      <c r="W16" s="3"/>
      <c r="X16" s="3"/>
      <c r="Y16" s="3"/>
      <c r="Z16" s="3"/>
      <c r="AA16" s="3"/>
    </row>
    <row r="17" spans="1:27" x14ac:dyDescent="0.25">
      <c r="A17" s="24">
        <v>16</v>
      </c>
      <c r="B17" s="24" t="s">
        <v>448</v>
      </c>
      <c r="C17" s="24" t="s">
        <v>258</v>
      </c>
      <c r="D17" s="24">
        <v>2020</v>
      </c>
      <c r="E17" s="24" t="s">
        <v>259</v>
      </c>
      <c r="F17" s="24" t="s">
        <v>260</v>
      </c>
      <c r="G17" s="96" t="s">
        <v>261</v>
      </c>
      <c r="H17" s="24" t="s">
        <v>17</v>
      </c>
      <c r="I17" s="24" t="s">
        <v>250</v>
      </c>
      <c r="J17" s="24" t="s">
        <v>59</v>
      </c>
      <c r="K17" s="24" t="s">
        <v>189</v>
      </c>
      <c r="L17" s="24" t="s">
        <v>140</v>
      </c>
      <c r="M17" s="24" t="s">
        <v>29</v>
      </c>
      <c r="N17" s="24" t="s">
        <v>21</v>
      </c>
      <c r="O17" s="24" t="s">
        <v>21</v>
      </c>
      <c r="P17" s="24" t="s">
        <v>233</v>
      </c>
      <c r="Q17" s="24" t="s">
        <v>192</v>
      </c>
      <c r="R17" s="24" t="s">
        <v>644</v>
      </c>
      <c r="S17" s="69"/>
      <c r="T17" s="69"/>
      <c r="U17" s="3"/>
      <c r="V17" s="3"/>
      <c r="W17" s="3"/>
      <c r="X17" s="3"/>
      <c r="Y17" s="3"/>
      <c r="Z17" s="3"/>
      <c r="AA17" s="3"/>
    </row>
    <row r="18" spans="1:27" x14ac:dyDescent="0.25">
      <c r="A18" s="20">
        <v>17</v>
      </c>
      <c r="B18" s="20" t="s">
        <v>392</v>
      </c>
      <c r="C18" s="20" t="s">
        <v>201</v>
      </c>
      <c r="D18" s="20">
        <v>2020</v>
      </c>
      <c r="E18" s="20" t="s">
        <v>46</v>
      </c>
      <c r="F18" s="20" t="s">
        <v>202</v>
      </c>
      <c r="G18" s="95" t="s">
        <v>203</v>
      </c>
      <c r="H18" s="20" t="s">
        <v>230</v>
      </c>
      <c r="I18" s="20" t="s">
        <v>250</v>
      </c>
      <c r="J18" s="20" t="s">
        <v>59</v>
      </c>
      <c r="K18" s="20" t="s">
        <v>28</v>
      </c>
      <c r="L18" s="20" t="s">
        <v>140</v>
      </c>
      <c r="M18" s="20" t="s">
        <v>208</v>
      </c>
      <c r="N18" s="20" t="s">
        <v>9</v>
      </c>
      <c r="O18" s="20" t="s">
        <v>9</v>
      </c>
      <c r="P18" s="20" t="s">
        <v>209</v>
      </c>
      <c r="Q18" s="20" t="s">
        <v>587</v>
      </c>
      <c r="R18" s="20" t="s">
        <v>605</v>
      </c>
      <c r="S18" s="69"/>
      <c r="T18" s="69"/>
      <c r="U18" s="3"/>
      <c r="V18" s="3"/>
      <c r="W18" s="3"/>
      <c r="X18" s="3"/>
      <c r="Y18" s="3"/>
      <c r="Z18" s="3"/>
      <c r="AA18" s="3"/>
    </row>
    <row r="19" spans="1:27" x14ac:dyDescent="0.25">
      <c r="A19" s="24">
        <v>18</v>
      </c>
      <c r="B19" s="24" t="s">
        <v>449</v>
      </c>
      <c r="C19" s="24" t="s">
        <v>445</v>
      </c>
      <c r="D19" s="24">
        <v>2017</v>
      </c>
      <c r="E19" s="24" t="s">
        <v>76</v>
      </c>
      <c r="F19" s="24" t="s">
        <v>446</v>
      </c>
      <c r="G19" s="96" t="s">
        <v>447</v>
      </c>
      <c r="H19" s="24" t="s">
        <v>17</v>
      </c>
      <c r="I19" s="24" t="s">
        <v>250</v>
      </c>
      <c r="J19" s="24" t="s">
        <v>453</v>
      </c>
      <c r="K19" s="24" t="s">
        <v>28</v>
      </c>
      <c r="L19" s="24" t="s">
        <v>140</v>
      </c>
      <c r="M19" s="24" t="s">
        <v>450</v>
      </c>
      <c r="N19" s="24" t="s">
        <v>9</v>
      </c>
      <c r="O19" s="24" t="s">
        <v>21</v>
      </c>
      <c r="P19" s="24" t="s">
        <v>451</v>
      </c>
      <c r="Q19" s="24" t="s">
        <v>192</v>
      </c>
      <c r="R19" s="24" t="s">
        <v>655</v>
      </c>
      <c r="S19" s="71" t="s">
        <v>688</v>
      </c>
      <c r="T19" s="77" t="s">
        <v>723</v>
      </c>
      <c r="U19" s="3"/>
      <c r="V19" s="3"/>
      <c r="W19" s="3"/>
      <c r="X19" s="3"/>
      <c r="Y19" s="3"/>
      <c r="Z19" s="3"/>
      <c r="AA19" s="3"/>
    </row>
    <row r="20" spans="1:27" x14ac:dyDescent="0.25">
      <c r="A20" s="24">
        <v>19</v>
      </c>
      <c r="B20" s="24" t="s">
        <v>393</v>
      </c>
      <c r="C20" s="24" t="s">
        <v>286</v>
      </c>
      <c r="D20" s="24">
        <v>2008</v>
      </c>
      <c r="E20" s="24" t="s">
        <v>76</v>
      </c>
      <c r="F20" s="24" t="s">
        <v>287</v>
      </c>
      <c r="G20" s="96" t="s">
        <v>288</v>
      </c>
      <c r="H20" s="24" t="s">
        <v>17</v>
      </c>
      <c r="I20" s="24" t="s">
        <v>250</v>
      </c>
      <c r="J20" s="24" t="s">
        <v>59</v>
      </c>
      <c r="K20" s="24" t="s">
        <v>28</v>
      </c>
      <c r="L20" s="24" t="s">
        <v>140</v>
      </c>
      <c r="M20" s="24" t="s">
        <v>20</v>
      </c>
      <c r="N20" s="24" t="s">
        <v>9</v>
      </c>
      <c r="O20" s="24" t="s">
        <v>21</v>
      </c>
      <c r="P20" s="24" t="s">
        <v>610</v>
      </c>
      <c r="Q20" s="24" t="s">
        <v>192</v>
      </c>
      <c r="R20" s="24" t="s">
        <v>619</v>
      </c>
      <c r="S20" s="69"/>
      <c r="T20" s="69"/>
      <c r="U20" s="3"/>
      <c r="V20" s="3"/>
      <c r="W20" s="3"/>
      <c r="X20" s="3"/>
      <c r="Y20" s="3"/>
      <c r="Z20" s="3"/>
      <c r="AA20" s="3"/>
    </row>
    <row r="21" spans="1:27" x14ac:dyDescent="0.25">
      <c r="A21" s="20">
        <v>20</v>
      </c>
      <c r="B21" s="20" t="s">
        <v>383</v>
      </c>
      <c r="C21" s="20" t="s">
        <v>256</v>
      </c>
      <c r="D21" s="20">
        <v>2020</v>
      </c>
      <c r="E21" s="20" t="s">
        <v>197</v>
      </c>
      <c r="F21" s="20" t="s">
        <v>254</v>
      </c>
      <c r="G21" s="95" t="s">
        <v>255</v>
      </c>
      <c r="H21" s="20" t="s">
        <v>116</v>
      </c>
      <c r="I21" s="20" t="s">
        <v>250</v>
      </c>
      <c r="J21" s="20" t="s">
        <v>9</v>
      </c>
      <c r="K21" s="20" t="s">
        <v>28</v>
      </c>
      <c r="L21" s="20" t="s">
        <v>140</v>
      </c>
      <c r="M21" s="20" t="s">
        <v>29</v>
      </c>
      <c r="N21" s="20" t="s">
        <v>21</v>
      </c>
      <c r="O21" s="20" t="s">
        <v>21</v>
      </c>
      <c r="P21" s="20" t="s">
        <v>157</v>
      </c>
      <c r="Q21" s="20" t="s">
        <v>587</v>
      </c>
      <c r="R21" s="20" t="s">
        <v>644</v>
      </c>
      <c r="S21" s="69"/>
      <c r="T21" s="69"/>
      <c r="U21" s="3"/>
      <c r="V21" s="3"/>
      <c r="W21" s="3"/>
      <c r="X21" s="3"/>
      <c r="Y21" s="3"/>
      <c r="Z21" s="3"/>
      <c r="AA21" s="3"/>
    </row>
    <row r="22" spans="1:27" x14ac:dyDescent="0.25">
      <c r="A22" s="20">
        <v>21</v>
      </c>
      <c r="B22" s="20" t="s">
        <v>384</v>
      </c>
      <c r="C22" s="25" t="s">
        <v>111</v>
      </c>
      <c r="D22" s="20">
        <v>2000</v>
      </c>
      <c r="E22" s="20" t="s">
        <v>318</v>
      </c>
      <c r="F22" s="20" t="s">
        <v>134</v>
      </c>
      <c r="G22" s="95" t="s">
        <v>135</v>
      </c>
      <c r="H22" s="20" t="s">
        <v>112</v>
      </c>
      <c r="I22" s="20" t="s">
        <v>128</v>
      </c>
      <c r="J22" s="20" t="s">
        <v>59</v>
      </c>
      <c r="K22" s="20" t="s">
        <v>137</v>
      </c>
      <c r="L22" s="20" t="s">
        <v>140</v>
      </c>
      <c r="M22" s="20" t="s">
        <v>136</v>
      </c>
      <c r="N22" s="20" t="s">
        <v>21</v>
      </c>
      <c r="O22" s="20" t="s">
        <v>21</v>
      </c>
      <c r="P22" s="20" t="s">
        <v>22</v>
      </c>
      <c r="Q22" s="20" t="s">
        <v>587</v>
      </c>
      <c r="R22" s="20" t="s">
        <v>738</v>
      </c>
      <c r="S22" s="71" t="s">
        <v>688</v>
      </c>
      <c r="T22" s="88" t="s">
        <v>22</v>
      </c>
      <c r="U22" s="3"/>
      <c r="V22" s="3"/>
      <c r="W22" s="3"/>
      <c r="X22" s="3"/>
      <c r="Y22" s="3"/>
      <c r="Z22" s="3"/>
      <c r="AA22" s="3"/>
    </row>
    <row r="23" spans="1:27" x14ac:dyDescent="0.25">
      <c r="A23" s="20">
        <v>22</v>
      </c>
      <c r="B23" s="20" t="s">
        <v>434</v>
      </c>
      <c r="C23" s="25" t="s">
        <v>111</v>
      </c>
      <c r="D23" s="20">
        <v>2006</v>
      </c>
      <c r="E23" s="20" t="s">
        <v>71</v>
      </c>
      <c r="F23" s="20" t="s">
        <v>472</v>
      </c>
      <c r="G23" s="95" t="s">
        <v>473</v>
      </c>
      <c r="H23" s="20" t="s">
        <v>112</v>
      </c>
      <c r="I23" s="20" t="s">
        <v>128</v>
      </c>
      <c r="J23" s="20" t="s">
        <v>59</v>
      </c>
      <c r="K23" s="20" t="s">
        <v>137</v>
      </c>
      <c r="L23" s="20" t="s">
        <v>140</v>
      </c>
      <c r="M23" s="20" t="s">
        <v>136</v>
      </c>
      <c r="N23" s="20" t="s">
        <v>21</v>
      </c>
      <c r="O23" s="20" t="s">
        <v>21</v>
      </c>
      <c r="P23" s="20" t="s">
        <v>22</v>
      </c>
      <c r="Q23" s="20" t="s">
        <v>587</v>
      </c>
      <c r="R23" s="20" t="s">
        <v>605</v>
      </c>
      <c r="S23" s="69"/>
      <c r="T23" s="69"/>
      <c r="U23" s="3"/>
      <c r="V23" s="3"/>
      <c r="W23" s="3"/>
      <c r="X23" s="3"/>
      <c r="Y23" s="3"/>
      <c r="Z23" s="3"/>
      <c r="AA23" s="3"/>
    </row>
    <row r="24" spans="1:27" x14ac:dyDescent="0.25">
      <c r="A24" s="20">
        <v>23</v>
      </c>
      <c r="B24" s="20" t="s">
        <v>394</v>
      </c>
      <c r="C24" s="20" t="s">
        <v>23</v>
      </c>
      <c r="D24" s="20">
        <v>2020</v>
      </c>
      <c r="E24" s="20" t="s">
        <v>66</v>
      </c>
      <c r="F24" s="20" t="s">
        <v>67</v>
      </c>
      <c r="G24" s="95" t="s">
        <v>68</v>
      </c>
      <c r="H24" s="20" t="s">
        <v>17</v>
      </c>
      <c r="I24" s="20" t="s">
        <v>250</v>
      </c>
      <c r="J24" s="20" t="s">
        <v>9</v>
      </c>
      <c r="K24" s="20" t="s">
        <v>28</v>
      </c>
      <c r="L24" s="20" t="s">
        <v>140</v>
      </c>
      <c r="M24" s="20" t="s">
        <v>20</v>
      </c>
      <c r="N24" s="20" t="s">
        <v>9</v>
      </c>
      <c r="O24" s="20" t="s">
        <v>21</v>
      </c>
      <c r="P24" s="20" t="s">
        <v>613</v>
      </c>
      <c r="Q24" s="20" t="s">
        <v>587</v>
      </c>
      <c r="R24" s="20" t="s">
        <v>647</v>
      </c>
      <c r="S24" s="69" t="s">
        <v>22</v>
      </c>
      <c r="T24" s="74" t="s">
        <v>690</v>
      </c>
      <c r="U24" s="3"/>
      <c r="V24" s="3"/>
      <c r="W24" s="3"/>
      <c r="X24" s="3"/>
      <c r="Y24" s="3"/>
      <c r="Z24" s="3"/>
      <c r="AA24" s="3"/>
    </row>
    <row r="25" spans="1:27" x14ac:dyDescent="0.25">
      <c r="A25" s="20">
        <v>24</v>
      </c>
      <c r="B25" s="20" t="s">
        <v>395</v>
      </c>
      <c r="C25" s="20" t="s">
        <v>289</v>
      </c>
      <c r="D25" s="20">
        <v>2012</v>
      </c>
      <c r="E25" s="20" t="s">
        <v>290</v>
      </c>
      <c r="F25" s="20" t="s">
        <v>291</v>
      </c>
      <c r="G25" s="95" t="s">
        <v>292</v>
      </c>
      <c r="H25" s="20" t="s">
        <v>30</v>
      </c>
      <c r="I25" s="20" t="s">
        <v>250</v>
      </c>
      <c r="J25" s="20" t="s">
        <v>9</v>
      </c>
      <c r="K25" s="20" t="s">
        <v>27</v>
      </c>
      <c r="L25" s="20" t="s">
        <v>140</v>
      </c>
      <c r="M25" s="20" t="s">
        <v>70</v>
      </c>
      <c r="N25" s="20" t="s">
        <v>9</v>
      </c>
      <c r="O25" s="20" t="s">
        <v>21</v>
      </c>
      <c r="P25" s="20" t="s">
        <v>243</v>
      </c>
      <c r="Q25" s="20" t="s">
        <v>587</v>
      </c>
      <c r="R25" s="20" t="s">
        <v>605</v>
      </c>
      <c r="S25" s="69"/>
      <c r="T25" s="69"/>
      <c r="U25" s="3"/>
      <c r="V25" s="3"/>
      <c r="W25" s="3"/>
      <c r="X25" s="3"/>
      <c r="Y25" s="3"/>
      <c r="Z25" s="3"/>
      <c r="AA25" s="3"/>
    </row>
    <row r="26" spans="1:27" x14ac:dyDescent="0.25">
      <c r="A26" s="20">
        <v>25</v>
      </c>
      <c r="B26" s="20" t="s">
        <v>382</v>
      </c>
      <c r="C26" s="20" t="s">
        <v>204</v>
      </c>
      <c r="D26" s="20">
        <v>2012</v>
      </c>
      <c r="E26" s="20" t="s">
        <v>98</v>
      </c>
      <c r="F26" s="20" t="s">
        <v>205</v>
      </c>
      <c r="G26" s="95" t="s">
        <v>206</v>
      </c>
      <c r="H26" s="20" t="s">
        <v>180</v>
      </c>
      <c r="I26" s="20" t="s">
        <v>250</v>
      </c>
      <c r="J26" s="20" t="s">
        <v>21</v>
      </c>
      <c r="K26" s="20" t="s">
        <v>28</v>
      </c>
      <c r="L26" s="20" t="s">
        <v>140</v>
      </c>
      <c r="M26" s="20" t="s">
        <v>20</v>
      </c>
      <c r="N26" s="20" t="s">
        <v>9</v>
      </c>
      <c r="O26" s="20" t="s">
        <v>21</v>
      </c>
      <c r="P26" s="20" t="s">
        <v>341</v>
      </c>
      <c r="Q26" s="20" t="s">
        <v>587</v>
      </c>
      <c r="R26" s="20" t="s">
        <v>617</v>
      </c>
      <c r="S26" s="69"/>
      <c r="T26" s="69"/>
      <c r="U26" s="3"/>
      <c r="V26" s="3"/>
      <c r="W26" s="3"/>
      <c r="X26" s="3"/>
      <c r="Y26" s="3"/>
      <c r="Z26" s="3"/>
      <c r="AA26" s="3"/>
    </row>
    <row r="27" spans="1:27" x14ac:dyDescent="0.25">
      <c r="A27" s="20">
        <v>26</v>
      </c>
      <c r="B27" s="20" t="s">
        <v>380</v>
      </c>
      <c r="C27" s="20" t="s">
        <v>344</v>
      </c>
      <c r="D27" s="20">
        <v>2018</v>
      </c>
      <c r="E27" s="20" t="s">
        <v>66</v>
      </c>
      <c r="F27" s="20" t="s">
        <v>337</v>
      </c>
      <c r="G27" s="95" t="s">
        <v>188</v>
      </c>
      <c r="H27" s="20" t="s">
        <v>74</v>
      </c>
      <c r="I27" s="20" t="s">
        <v>190</v>
      </c>
      <c r="J27" s="20" t="s">
        <v>21</v>
      </c>
      <c r="K27" s="20" t="s">
        <v>189</v>
      </c>
      <c r="L27" s="20" t="s">
        <v>140</v>
      </c>
      <c r="M27" s="20" t="s">
        <v>29</v>
      </c>
      <c r="N27" s="20" t="s">
        <v>21</v>
      </c>
      <c r="O27" s="20" t="s">
        <v>21</v>
      </c>
      <c r="P27" s="20" t="s">
        <v>345</v>
      </c>
      <c r="Q27" s="20" t="s">
        <v>587</v>
      </c>
      <c r="R27" s="20" t="s">
        <v>695</v>
      </c>
      <c r="S27" s="72" t="s">
        <v>683</v>
      </c>
      <c r="T27" s="92" t="s">
        <v>704</v>
      </c>
      <c r="U27" s="3"/>
      <c r="V27" s="3"/>
      <c r="W27" s="3"/>
      <c r="X27" s="3"/>
      <c r="Y27" s="3"/>
      <c r="Z27" s="3"/>
      <c r="AA27" s="3"/>
    </row>
    <row r="28" spans="1:27" x14ac:dyDescent="0.25">
      <c r="A28" s="20">
        <v>27</v>
      </c>
      <c r="B28" s="20" t="s">
        <v>396</v>
      </c>
      <c r="C28" s="25" t="s">
        <v>121</v>
      </c>
      <c r="D28" s="20">
        <v>2006</v>
      </c>
      <c r="E28" s="20" t="s">
        <v>122</v>
      </c>
      <c r="F28" s="20" t="s">
        <v>123</v>
      </c>
      <c r="G28" s="95" t="s">
        <v>124</v>
      </c>
      <c r="H28" s="20" t="s">
        <v>17</v>
      </c>
      <c r="I28" s="20" t="s">
        <v>8</v>
      </c>
      <c r="J28" s="20" t="s">
        <v>9</v>
      </c>
      <c r="K28" s="20" t="s">
        <v>28</v>
      </c>
      <c r="L28" s="20" t="s">
        <v>140</v>
      </c>
      <c r="M28" s="20" t="s">
        <v>29</v>
      </c>
      <c r="N28" s="20" t="s">
        <v>21</v>
      </c>
      <c r="O28" s="20" t="s">
        <v>21</v>
      </c>
      <c r="P28" s="20" t="s">
        <v>609</v>
      </c>
      <c r="Q28" s="20" t="s">
        <v>587</v>
      </c>
      <c r="R28" s="20" t="s">
        <v>739</v>
      </c>
      <c r="S28" s="69"/>
      <c r="T28" s="69"/>
      <c r="U28" s="3"/>
      <c r="V28" s="3"/>
      <c r="W28" s="3"/>
      <c r="X28" s="3"/>
      <c r="Y28" s="3"/>
      <c r="Z28" s="3"/>
      <c r="AA28" s="3"/>
    </row>
    <row r="29" spans="1:27" x14ac:dyDescent="0.25">
      <c r="A29" s="20">
        <v>28</v>
      </c>
      <c r="B29" s="20" t="s">
        <v>397</v>
      </c>
      <c r="C29" s="20" t="s">
        <v>198</v>
      </c>
      <c r="D29" s="20">
        <v>2017</v>
      </c>
      <c r="E29" s="20" t="s">
        <v>83</v>
      </c>
      <c r="F29" s="20" t="s">
        <v>199</v>
      </c>
      <c r="G29" s="95" t="s">
        <v>200</v>
      </c>
      <c r="H29" s="20" t="s">
        <v>185</v>
      </c>
      <c r="I29" s="20" t="s">
        <v>250</v>
      </c>
      <c r="J29" s="20" t="s">
        <v>9</v>
      </c>
      <c r="K29" s="20" t="s">
        <v>219</v>
      </c>
      <c r="L29" s="20" t="s">
        <v>140</v>
      </c>
      <c r="M29" s="20" t="s">
        <v>29</v>
      </c>
      <c r="N29" s="20" t="s">
        <v>21</v>
      </c>
      <c r="O29" s="20" t="s">
        <v>21</v>
      </c>
      <c r="P29" s="20" t="s">
        <v>329</v>
      </c>
      <c r="Q29" s="20" t="s">
        <v>587</v>
      </c>
      <c r="R29" s="20" t="s">
        <v>619</v>
      </c>
      <c r="S29" s="69"/>
      <c r="T29" s="69"/>
      <c r="U29" s="3"/>
      <c r="V29" s="3"/>
      <c r="W29" s="3"/>
      <c r="X29" s="3"/>
      <c r="Y29" s="3"/>
      <c r="Z29" s="3"/>
      <c r="AA29" s="3"/>
    </row>
    <row r="30" spans="1:27" x14ac:dyDescent="0.25">
      <c r="A30" s="24">
        <v>29</v>
      </c>
      <c r="B30" s="97" t="s">
        <v>551</v>
      </c>
      <c r="C30" s="24" t="s">
        <v>547</v>
      </c>
      <c r="D30" s="24">
        <v>2014</v>
      </c>
      <c r="E30" s="24" t="s">
        <v>50</v>
      </c>
      <c r="F30" s="24" t="s">
        <v>548</v>
      </c>
      <c r="G30" s="96" t="s">
        <v>550</v>
      </c>
      <c r="H30" s="24" t="s">
        <v>74</v>
      </c>
      <c r="I30" s="24" t="s">
        <v>549</v>
      </c>
      <c r="J30" s="24" t="s">
        <v>21</v>
      </c>
      <c r="K30" s="24" t="s">
        <v>28</v>
      </c>
      <c r="L30" s="24" t="s">
        <v>140</v>
      </c>
      <c r="M30" s="24" t="s">
        <v>10</v>
      </c>
      <c r="N30" s="24" t="s">
        <v>9</v>
      </c>
      <c r="O30" s="24" t="s">
        <v>9</v>
      </c>
      <c r="P30" s="24" t="s">
        <v>610</v>
      </c>
      <c r="Q30" s="24" t="s">
        <v>192</v>
      </c>
      <c r="R30" s="24" t="s">
        <v>664</v>
      </c>
      <c r="S30" s="93" t="s">
        <v>686</v>
      </c>
      <c r="T30" s="90" t="s">
        <v>22</v>
      </c>
      <c r="U30" s="3"/>
      <c r="V30" s="3"/>
      <c r="W30" s="3"/>
      <c r="X30" s="3"/>
      <c r="Y30" s="3"/>
      <c r="Z30" s="3"/>
      <c r="AA30" s="3"/>
    </row>
    <row r="31" spans="1:27" x14ac:dyDescent="0.25">
      <c r="A31" s="20">
        <v>30</v>
      </c>
      <c r="B31" s="25" t="s">
        <v>557</v>
      </c>
      <c r="C31" s="20" t="s">
        <v>547</v>
      </c>
      <c r="D31" s="20">
        <v>2013</v>
      </c>
      <c r="E31" s="20" t="s">
        <v>46</v>
      </c>
      <c r="F31" s="20" t="s">
        <v>548</v>
      </c>
      <c r="G31" s="95" t="s">
        <v>550</v>
      </c>
      <c r="H31" s="20" t="s">
        <v>74</v>
      </c>
      <c r="I31" s="20" t="s">
        <v>15</v>
      </c>
      <c r="J31" s="20" t="s">
        <v>21</v>
      </c>
      <c r="K31" s="20" t="s">
        <v>28</v>
      </c>
      <c r="L31" s="20" t="s">
        <v>140</v>
      </c>
      <c r="M31" s="20" t="s">
        <v>10</v>
      </c>
      <c r="N31" s="20" t="s">
        <v>9</v>
      </c>
      <c r="O31" s="20" t="s">
        <v>9</v>
      </c>
      <c r="P31" s="20" t="s">
        <v>612</v>
      </c>
      <c r="Q31" s="20" t="s">
        <v>587</v>
      </c>
      <c r="R31" s="20" t="s">
        <v>611</v>
      </c>
      <c r="S31" s="73" t="s">
        <v>22</v>
      </c>
      <c r="T31" s="78" t="s">
        <v>693</v>
      </c>
      <c r="U31" s="3"/>
      <c r="V31" s="3"/>
      <c r="W31" s="3"/>
      <c r="X31" s="3"/>
      <c r="Y31" s="3"/>
      <c r="Z31" s="3"/>
      <c r="AA31" s="3"/>
    </row>
    <row r="32" spans="1:27" x14ac:dyDescent="0.25">
      <c r="A32" s="24">
        <v>31</v>
      </c>
      <c r="B32" s="24" t="s">
        <v>398</v>
      </c>
      <c r="C32" s="24" t="s">
        <v>246</v>
      </c>
      <c r="D32" s="24">
        <v>2017</v>
      </c>
      <c r="E32" s="24" t="s">
        <v>247</v>
      </c>
      <c r="F32" s="24" t="s">
        <v>248</v>
      </c>
      <c r="G32" s="96" t="s">
        <v>249</v>
      </c>
      <c r="H32" s="24" t="s">
        <v>74</v>
      </c>
      <c r="I32" s="24" t="s">
        <v>250</v>
      </c>
      <c r="J32" s="24" t="s">
        <v>21</v>
      </c>
      <c r="K32" s="24" t="s">
        <v>28</v>
      </c>
      <c r="L32" s="24" t="s">
        <v>140</v>
      </c>
      <c r="M32" s="24" t="s">
        <v>10</v>
      </c>
      <c r="N32" s="24" t="s">
        <v>9</v>
      </c>
      <c r="O32" s="24" t="s">
        <v>9</v>
      </c>
      <c r="P32" s="24" t="s">
        <v>143</v>
      </c>
      <c r="Q32" s="24" t="s">
        <v>192</v>
      </c>
      <c r="R32" s="24" t="s">
        <v>657</v>
      </c>
      <c r="S32" s="72" t="s">
        <v>683</v>
      </c>
      <c r="T32" s="88" t="s">
        <v>22</v>
      </c>
      <c r="U32" s="3"/>
      <c r="V32" s="3"/>
      <c r="W32" s="3"/>
      <c r="X32" s="3"/>
      <c r="Y32" s="3"/>
      <c r="Z32" s="3"/>
      <c r="AA32" s="3"/>
    </row>
    <row r="33" spans="1:27" x14ac:dyDescent="0.25">
      <c r="A33" s="20">
        <v>32</v>
      </c>
      <c r="B33" s="20" t="s">
        <v>399</v>
      </c>
      <c r="C33" s="20" t="s">
        <v>273</v>
      </c>
      <c r="D33" s="20">
        <v>2003</v>
      </c>
      <c r="E33" s="20" t="s">
        <v>274</v>
      </c>
      <c r="F33" s="20" t="s">
        <v>275</v>
      </c>
      <c r="G33" s="95" t="s">
        <v>327</v>
      </c>
      <c r="H33" s="20" t="s">
        <v>74</v>
      </c>
      <c r="I33" s="20" t="s">
        <v>156</v>
      </c>
      <c r="J33" s="20" t="s">
        <v>21</v>
      </c>
      <c r="K33" s="20" t="s">
        <v>78</v>
      </c>
      <c r="L33" s="20" t="s">
        <v>140</v>
      </c>
      <c r="M33" s="20" t="s">
        <v>20</v>
      </c>
      <c r="N33" s="20" t="s">
        <v>9</v>
      </c>
      <c r="O33" s="20" t="s">
        <v>21</v>
      </c>
      <c r="P33" s="20" t="s">
        <v>328</v>
      </c>
      <c r="Q33" s="20" t="s">
        <v>587</v>
      </c>
      <c r="R33" s="20" t="s">
        <v>604</v>
      </c>
      <c r="S33" s="74" t="s">
        <v>686</v>
      </c>
      <c r="T33" s="76" t="s">
        <v>709</v>
      </c>
      <c r="U33" s="3"/>
      <c r="V33" s="3"/>
      <c r="W33" s="3"/>
      <c r="X33" s="3"/>
      <c r="Y33" s="3"/>
      <c r="Z33" s="3"/>
      <c r="AA33" s="3"/>
    </row>
    <row r="34" spans="1:27" x14ac:dyDescent="0.25">
      <c r="A34" s="20">
        <v>33</v>
      </c>
      <c r="B34" s="20" t="s">
        <v>357</v>
      </c>
      <c r="C34" s="20" t="s">
        <v>13</v>
      </c>
      <c r="D34" s="20">
        <v>2003</v>
      </c>
      <c r="E34" s="20" t="s">
        <v>46</v>
      </c>
      <c r="F34" s="20" t="s">
        <v>52</v>
      </c>
      <c r="G34" s="95" t="s">
        <v>51</v>
      </c>
      <c r="H34" s="20" t="s">
        <v>30</v>
      </c>
      <c r="I34" s="20" t="s">
        <v>54</v>
      </c>
      <c r="J34" s="20" t="s">
        <v>9</v>
      </c>
      <c r="K34" s="20" t="s">
        <v>27</v>
      </c>
      <c r="L34" s="20" t="s">
        <v>140</v>
      </c>
      <c r="M34" s="20" t="s">
        <v>53</v>
      </c>
      <c r="N34" s="20" t="s">
        <v>9</v>
      </c>
      <c r="O34" s="20" t="s">
        <v>21</v>
      </c>
      <c r="P34" s="20" t="s">
        <v>55</v>
      </c>
      <c r="Q34" s="20" t="s">
        <v>587</v>
      </c>
      <c r="R34" s="20" t="s">
        <v>607</v>
      </c>
      <c r="S34" s="72" t="s">
        <v>683</v>
      </c>
      <c r="T34" s="88" t="s">
        <v>22</v>
      </c>
      <c r="U34" s="3"/>
      <c r="V34" s="3"/>
      <c r="W34" s="3"/>
      <c r="X34" s="3"/>
      <c r="Y34" s="3"/>
      <c r="Z34" s="3"/>
      <c r="AA34" s="3"/>
    </row>
    <row r="35" spans="1:27" x14ac:dyDescent="0.25">
      <c r="A35" s="20">
        <v>34</v>
      </c>
      <c r="B35" s="20" t="s">
        <v>358</v>
      </c>
      <c r="C35" s="20" t="s">
        <v>13</v>
      </c>
      <c r="D35" s="20">
        <v>2005</v>
      </c>
      <c r="E35" s="20" t="s">
        <v>46</v>
      </c>
      <c r="F35" s="20" t="s">
        <v>52</v>
      </c>
      <c r="G35" s="95" t="s">
        <v>51</v>
      </c>
      <c r="H35" s="20" t="s">
        <v>30</v>
      </c>
      <c r="I35" s="20" t="s">
        <v>54</v>
      </c>
      <c r="J35" s="20" t="s">
        <v>9</v>
      </c>
      <c r="K35" s="20" t="s">
        <v>27</v>
      </c>
      <c r="L35" s="20" t="s">
        <v>140</v>
      </c>
      <c r="M35" s="20" t="s">
        <v>53</v>
      </c>
      <c r="N35" s="20" t="s">
        <v>9</v>
      </c>
      <c r="O35" s="20" t="s">
        <v>21</v>
      </c>
      <c r="P35" s="20" t="s">
        <v>55</v>
      </c>
      <c r="Q35" s="20" t="s">
        <v>587</v>
      </c>
      <c r="R35" s="20" t="s">
        <v>607</v>
      </c>
      <c r="S35" s="72" t="s">
        <v>683</v>
      </c>
      <c r="T35" s="88" t="s">
        <v>22</v>
      </c>
      <c r="U35" s="3"/>
      <c r="V35" s="3"/>
      <c r="W35" s="3"/>
      <c r="X35" s="3"/>
      <c r="Y35" s="3"/>
      <c r="Z35" s="3"/>
      <c r="AA35" s="3"/>
    </row>
    <row r="36" spans="1:27" x14ac:dyDescent="0.25">
      <c r="A36" s="20">
        <v>35</v>
      </c>
      <c r="B36" s="20" t="s">
        <v>356</v>
      </c>
      <c r="C36" s="20" t="s">
        <v>13</v>
      </c>
      <c r="D36" s="20">
        <v>2007</v>
      </c>
      <c r="E36" s="20" t="s">
        <v>373</v>
      </c>
      <c r="F36" s="20" t="s">
        <v>52</v>
      </c>
      <c r="G36" s="95" t="s">
        <v>51</v>
      </c>
      <c r="H36" s="20" t="s">
        <v>30</v>
      </c>
      <c r="I36" s="20" t="s">
        <v>54</v>
      </c>
      <c r="J36" s="20" t="s">
        <v>9</v>
      </c>
      <c r="K36" s="20" t="s">
        <v>27</v>
      </c>
      <c r="L36" s="20" t="s">
        <v>140</v>
      </c>
      <c r="M36" s="20" t="s">
        <v>53</v>
      </c>
      <c r="N36" s="20" t="s">
        <v>9</v>
      </c>
      <c r="O36" s="20" t="s">
        <v>21</v>
      </c>
      <c r="P36" s="20" t="s">
        <v>55</v>
      </c>
      <c r="Q36" s="20" t="s">
        <v>587</v>
      </c>
      <c r="R36" s="20" t="s">
        <v>621</v>
      </c>
      <c r="S36" s="83" t="s">
        <v>623</v>
      </c>
      <c r="T36" s="88" t="s">
        <v>22</v>
      </c>
      <c r="U36" s="3"/>
      <c r="V36" s="3"/>
      <c r="W36" s="3"/>
      <c r="X36" s="3"/>
      <c r="Y36" s="3"/>
      <c r="Z36" s="3"/>
      <c r="AA36" s="3"/>
    </row>
    <row r="37" spans="1:27" ht="30" x14ac:dyDescent="0.25">
      <c r="A37" s="20">
        <v>36</v>
      </c>
      <c r="B37" s="20" t="s">
        <v>400</v>
      </c>
      <c r="C37" s="20" t="s">
        <v>56</v>
      </c>
      <c r="D37" s="20">
        <v>2005</v>
      </c>
      <c r="E37" s="20" t="s">
        <v>50</v>
      </c>
      <c r="F37" s="98" t="s">
        <v>58</v>
      </c>
      <c r="G37" s="95" t="s">
        <v>57</v>
      </c>
      <c r="H37" s="20" t="s">
        <v>17</v>
      </c>
      <c r="I37" s="20" t="s">
        <v>156</v>
      </c>
      <c r="J37" s="20" t="s">
        <v>59</v>
      </c>
      <c r="K37" s="20" t="s">
        <v>28</v>
      </c>
      <c r="L37" s="20" t="s">
        <v>140</v>
      </c>
      <c r="M37" s="20" t="s">
        <v>20</v>
      </c>
      <c r="N37" s="20" t="s">
        <v>9</v>
      </c>
      <c r="O37" s="20" t="s">
        <v>21</v>
      </c>
      <c r="P37" s="20" t="s">
        <v>60</v>
      </c>
      <c r="Q37" s="20" t="s">
        <v>587</v>
      </c>
      <c r="R37" s="20" t="s">
        <v>605</v>
      </c>
      <c r="S37" s="69"/>
      <c r="T37" s="69"/>
      <c r="U37" s="3"/>
      <c r="V37" s="3"/>
      <c r="W37" s="3"/>
      <c r="X37" s="3"/>
      <c r="Y37" s="3"/>
      <c r="Z37" s="3"/>
      <c r="AA37" s="3"/>
    </row>
    <row r="38" spans="1:27" x14ac:dyDescent="0.25">
      <c r="A38" s="20">
        <v>37</v>
      </c>
      <c r="B38" s="25" t="s">
        <v>401</v>
      </c>
      <c r="C38" s="20" t="s">
        <v>41</v>
      </c>
      <c r="D38" s="20">
        <v>2002</v>
      </c>
      <c r="E38" s="20" t="s">
        <v>145</v>
      </c>
      <c r="F38" s="20" t="s">
        <v>144</v>
      </c>
      <c r="G38" s="95" t="s">
        <v>31</v>
      </c>
      <c r="H38" s="20" t="s">
        <v>17</v>
      </c>
      <c r="I38" s="20" t="s">
        <v>18</v>
      </c>
      <c r="J38" s="20" t="s">
        <v>9</v>
      </c>
      <c r="K38" s="20" t="s">
        <v>28</v>
      </c>
      <c r="L38" s="20" t="s">
        <v>139</v>
      </c>
      <c r="M38" s="20" t="s">
        <v>29</v>
      </c>
      <c r="N38" s="20" t="s">
        <v>21</v>
      </c>
      <c r="O38" s="20" t="s">
        <v>21</v>
      </c>
      <c r="P38" s="20" t="s">
        <v>22</v>
      </c>
      <c r="Q38" s="20" t="s">
        <v>587</v>
      </c>
      <c r="R38" s="20" t="s">
        <v>658</v>
      </c>
      <c r="S38" s="73"/>
      <c r="T38" s="73"/>
      <c r="U38" s="3"/>
      <c r="V38" s="3"/>
      <c r="W38" s="3"/>
      <c r="X38" s="3"/>
      <c r="Y38" s="3"/>
      <c r="Z38" s="3"/>
      <c r="AA38" s="3"/>
    </row>
    <row r="39" spans="1:27" x14ac:dyDescent="0.25">
      <c r="A39" s="20">
        <v>38</v>
      </c>
      <c r="B39" s="20" t="s">
        <v>402</v>
      </c>
      <c r="C39" s="20" t="s">
        <v>41</v>
      </c>
      <c r="D39" s="20">
        <v>2004</v>
      </c>
      <c r="E39" s="20" t="s">
        <v>46</v>
      </c>
      <c r="F39" s="20" t="s">
        <v>144</v>
      </c>
      <c r="G39" s="95" t="s">
        <v>31</v>
      </c>
      <c r="H39" s="20" t="s">
        <v>17</v>
      </c>
      <c r="I39" s="20" t="s">
        <v>18</v>
      </c>
      <c r="J39" s="20" t="s">
        <v>9</v>
      </c>
      <c r="K39" s="20" t="s">
        <v>28</v>
      </c>
      <c r="L39" s="20" t="s">
        <v>140</v>
      </c>
      <c r="M39" s="20" t="s">
        <v>29</v>
      </c>
      <c r="N39" s="20" t="s">
        <v>21</v>
      </c>
      <c r="O39" s="20" t="s">
        <v>21</v>
      </c>
      <c r="P39" s="20" t="s">
        <v>143</v>
      </c>
      <c r="Q39" s="20" t="s">
        <v>587</v>
      </c>
      <c r="R39" s="20" t="s">
        <v>741</v>
      </c>
      <c r="S39" s="72" t="s">
        <v>683</v>
      </c>
      <c r="T39" s="74" t="s">
        <v>691</v>
      </c>
      <c r="U39" s="3"/>
      <c r="V39" s="3"/>
      <c r="W39" s="3"/>
      <c r="X39" s="3"/>
      <c r="Y39" s="3"/>
      <c r="Z39" s="3"/>
      <c r="AA39" s="3"/>
    </row>
    <row r="40" spans="1:27" x14ac:dyDescent="0.25">
      <c r="A40" s="20">
        <v>39</v>
      </c>
      <c r="B40" s="20" t="s">
        <v>22</v>
      </c>
      <c r="C40" s="20" t="s">
        <v>474</v>
      </c>
      <c r="D40" s="20">
        <v>1996</v>
      </c>
      <c r="E40" s="20" t="s">
        <v>475</v>
      </c>
      <c r="F40" s="20" t="s">
        <v>337</v>
      </c>
      <c r="G40" s="95" t="s">
        <v>188</v>
      </c>
      <c r="H40" s="20" t="s">
        <v>74</v>
      </c>
      <c r="I40" s="20" t="s">
        <v>190</v>
      </c>
      <c r="J40" s="20" t="s">
        <v>21</v>
      </c>
      <c r="K40" s="20" t="s">
        <v>189</v>
      </c>
      <c r="L40" s="20" t="s">
        <v>140</v>
      </c>
      <c r="M40" s="20" t="s">
        <v>29</v>
      </c>
      <c r="N40" s="20" t="s">
        <v>21</v>
      </c>
      <c r="O40" s="20" t="s">
        <v>21</v>
      </c>
      <c r="P40" s="20" t="s">
        <v>451</v>
      </c>
      <c r="Q40" s="20" t="s">
        <v>587</v>
      </c>
      <c r="R40" s="20" t="s">
        <v>607</v>
      </c>
      <c r="S40" s="72" t="s">
        <v>683</v>
      </c>
      <c r="T40" s="88" t="s">
        <v>22</v>
      </c>
      <c r="U40" s="3"/>
      <c r="V40" s="3"/>
      <c r="W40" s="3"/>
      <c r="X40" s="3"/>
      <c r="Y40" s="3"/>
      <c r="Z40" s="3"/>
      <c r="AA40" s="3"/>
    </row>
    <row r="41" spans="1:27" x14ac:dyDescent="0.25">
      <c r="A41" s="24">
        <v>40</v>
      </c>
      <c r="B41" s="102" t="s">
        <v>403</v>
      </c>
      <c r="C41" s="24" t="s">
        <v>317</v>
      </c>
      <c r="D41" s="24">
        <v>2000</v>
      </c>
      <c r="E41" s="24" t="s">
        <v>318</v>
      </c>
      <c r="F41" s="24" t="s">
        <v>319</v>
      </c>
      <c r="G41" s="96" t="s">
        <v>323</v>
      </c>
      <c r="H41" s="24" t="s">
        <v>17</v>
      </c>
      <c r="I41" s="24" t="s">
        <v>156</v>
      </c>
      <c r="J41" s="24" t="s">
        <v>59</v>
      </c>
      <c r="K41" s="24" t="s">
        <v>28</v>
      </c>
      <c r="L41" s="24" t="s">
        <v>140</v>
      </c>
      <c r="M41" s="24" t="s">
        <v>20</v>
      </c>
      <c r="N41" s="24" t="s">
        <v>9</v>
      </c>
      <c r="O41" s="24" t="s">
        <v>21</v>
      </c>
      <c r="P41" s="24" t="s">
        <v>614</v>
      </c>
      <c r="Q41" s="24" t="s">
        <v>192</v>
      </c>
      <c r="R41" s="24" t="s">
        <v>605</v>
      </c>
      <c r="S41" s="73"/>
      <c r="T41" s="73"/>
      <c r="U41" s="3"/>
      <c r="V41" s="3"/>
      <c r="W41" s="3"/>
      <c r="X41" s="3"/>
      <c r="Y41" s="3"/>
      <c r="Z41" s="3"/>
      <c r="AA41" s="3"/>
    </row>
    <row r="42" spans="1:27" x14ac:dyDescent="0.25">
      <c r="A42" s="20">
        <v>41</v>
      </c>
      <c r="B42" s="20" t="s">
        <v>581</v>
      </c>
      <c r="C42" s="20" t="s">
        <v>580</v>
      </c>
      <c r="D42" s="20">
        <v>2020</v>
      </c>
      <c r="E42" s="20" t="s">
        <v>463</v>
      </c>
      <c r="F42" s="20" t="s">
        <v>548</v>
      </c>
      <c r="G42" s="95" t="s">
        <v>550</v>
      </c>
      <c r="H42" s="20" t="s">
        <v>74</v>
      </c>
      <c r="I42" s="20" t="s">
        <v>15</v>
      </c>
      <c r="J42" s="20" t="s">
        <v>21</v>
      </c>
      <c r="K42" s="20" t="s">
        <v>28</v>
      </c>
      <c r="L42" s="20" t="s">
        <v>140</v>
      </c>
      <c r="M42" s="20" t="s">
        <v>10</v>
      </c>
      <c r="N42" s="20" t="s">
        <v>9</v>
      </c>
      <c r="O42" s="20" t="s">
        <v>9</v>
      </c>
      <c r="P42" s="20" t="s">
        <v>157</v>
      </c>
      <c r="Q42" s="20" t="s">
        <v>587</v>
      </c>
      <c r="R42" s="20" t="s">
        <v>740</v>
      </c>
      <c r="S42" s="69" t="s">
        <v>694</v>
      </c>
      <c r="T42" s="69"/>
      <c r="U42" s="3"/>
      <c r="V42" s="3"/>
      <c r="W42" s="3"/>
      <c r="X42" s="3"/>
      <c r="Y42" s="3"/>
      <c r="Z42" s="3"/>
      <c r="AA42" s="3"/>
    </row>
    <row r="43" spans="1:27" x14ac:dyDescent="0.25">
      <c r="A43" s="20">
        <v>42</v>
      </c>
      <c r="B43" s="20" t="s">
        <v>442</v>
      </c>
      <c r="C43" s="20" t="s">
        <v>441</v>
      </c>
      <c r="D43" s="20">
        <v>2008</v>
      </c>
      <c r="E43" s="20" t="s">
        <v>299</v>
      </c>
      <c r="F43" s="20" t="s">
        <v>195</v>
      </c>
      <c r="G43" s="95" t="s">
        <v>196</v>
      </c>
      <c r="H43" s="20" t="s">
        <v>17</v>
      </c>
      <c r="I43" s="20" t="s">
        <v>348</v>
      </c>
      <c r="J43" s="20" t="s">
        <v>21</v>
      </c>
      <c r="K43" s="20" t="s">
        <v>189</v>
      </c>
      <c r="L43" s="20" t="s">
        <v>140</v>
      </c>
      <c r="M43" s="20" t="s">
        <v>20</v>
      </c>
      <c r="N43" s="20" t="s">
        <v>9</v>
      </c>
      <c r="O43" s="20" t="s">
        <v>21</v>
      </c>
      <c r="P43" s="20" t="s">
        <v>443</v>
      </c>
      <c r="Q43" s="20" t="s">
        <v>587</v>
      </c>
      <c r="R43" s="20" t="s">
        <v>662</v>
      </c>
      <c r="S43" s="74" t="s">
        <v>686</v>
      </c>
      <c r="T43" s="88" t="s">
        <v>22</v>
      </c>
      <c r="U43" s="3"/>
      <c r="V43" s="3"/>
      <c r="W43" s="3"/>
      <c r="X43" s="3"/>
      <c r="Y43" s="3"/>
      <c r="Z43" s="3"/>
      <c r="AA43" s="3"/>
    </row>
    <row r="44" spans="1:27" x14ac:dyDescent="0.25">
      <c r="A44" s="20">
        <v>43</v>
      </c>
      <c r="B44" s="25" t="s">
        <v>514</v>
      </c>
      <c r="C44" s="20" t="s">
        <v>515</v>
      </c>
      <c r="D44" s="20">
        <v>2022</v>
      </c>
      <c r="E44" s="20" t="s">
        <v>96</v>
      </c>
      <c r="F44" s="20" t="s">
        <v>516</v>
      </c>
      <c r="G44" s="95" t="s">
        <v>517</v>
      </c>
      <c r="H44" s="20" t="s">
        <v>116</v>
      </c>
      <c r="I44" s="20" t="s">
        <v>54</v>
      </c>
      <c r="J44" s="20" t="s">
        <v>21</v>
      </c>
      <c r="K44" s="20" t="s">
        <v>28</v>
      </c>
      <c r="L44" s="20" t="s">
        <v>140</v>
      </c>
      <c r="M44" s="20" t="s">
        <v>208</v>
      </c>
      <c r="N44" s="20" t="s">
        <v>9</v>
      </c>
      <c r="O44" s="20" t="s">
        <v>9</v>
      </c>
      <c r="P44" s="20" t="s">
        <v>615</v>
      </c>
      <c r="Q44" s="20" t="s">
        <v>587</v>
      </c>
      <c r="R44" s="20" t="s">
        <v>657</v>
      </c>
      <c r="S44" s="79" t="s">
        <v>688</v>
      </c>
      <c r="T44" s="89" t="s">
        <v>22</v>
      </c>
      <c r="U44" s="3"/>
      <c r="V44" s="3"/>
      <c r="W44" s="3"/>
      <c r="X44" s="3"/>
      <c r="Y44" s="3"/>
      <c r="Z44" s="3"/>
      <c r="AA44" s="3"/>
    </row>
    <row r="45" spans="1:27" x14ac:dyDescent="0.25">
      <c r="A45" s="20">
        <v>44</v>
      </c>
      <c r="B45" s="20" t="s">
        <v>404</v>
      </c>
      <c r="C45" s="25" t="s">
        <v>113</v>
      </c>
      <c r="D45" s="20">
        <v>2016</v>
      </c>
      <c r="E45" s="20" t="s">
        <v>49</v>
      </c>
      <c r="F45" s="20" t="s">
        <v>114</v>
      </c>
      <c r="G45" s="95" t="s">
        <v>115</v>
      </c>
      <c r="H45" s="20" t="s">
        <v>116</v>
      </c>
      <c r="I45" s="20" t="s">
        <v>129</v>
      </c>
      <c r="J45" s="20" t="s">
        <v>59</v>
      </c>
      <c r="K45" s="20" t="s">
        <v>28</v>
      </c>
      <c r="L45" s="20" t="s">
        <v>140</v>
      </c>
      <c r="M45" s="20" t="s">
        <v>20</v>
      </c>
      <c r="N45" s="20" t="s">
        <v>9</v>
      </c>
      <c r="O45" s="20" t="s">
        <v>21</v>
      </c>
      <c r="P45" s="20" t="s">
        <v>130</v>
      </c>
      <c r="Q45" s="20" t="s">
        <v>587</v>
      </c>
      <c r="R45" s="20" t="s">
        <v>605</v>
      </c>
      <c r="S45" s="69"/>
      <c r="T45" s="69"/>
      <c r="U45" s="3"/>
      <c r="V45" s="3"/>
      <c r="W45" s="3"/>
      <c r="X45" s="3"/>
      <c r="Y45" s="3"/>
      <c r="Z45" s="3"/>
      <c r="AA45" s="3"/>
    </row>
    <row r="46" spans="1:27" x14ac:dyDescent="0.25">
      <c r="A46" s="20">
        <v>45</v>
      </c>
      <c r="B46" s="25" t="s">
        <v>467</v>
      </c>
      <c r="C46" s="20" t="s">
        <v>265</v>
      </c>
      <c r="D46" s="20">
        <v>2004</v>
      </c>
      <c r="E46" s="20" t="s">
        <v>266</v>
      </c>
      <c r="F46" s="20" t="s">
        <v>267</v>
      </c>
      <c r="G46" s="95" t="s">
        <v>268</v>
      </c>
      <c r="H46" s="20" t="s">
        <v>17</v>
      </c>
      <c r="I46" s="20" t="s">
        <v>466</v>
      </c>
      <c r="J46" s="20" t="s">
        <v>21</v>
      </c>
      <c r="K46" s="20" t="s">
        <v>28</v>
      </c>
      <c r="L46" s="20" t="s">
        <v>139</v>
      </c>
      <c r="M46" s="20" t="s">
        <v>20</v>
      </c>
      <c r="N46" s="20" t="s">
        <v>9</v>
      </c>
      <c r="O46" s="20" t="s">
        <v>21</v>
      </c>
      <c r="P46" s="20" t="s">
        <v>696</v>
      </c>
      <c r="Q46" s="20" t="s">
        <v>587</v>
      </c>
      <c r="R46" s="20" t="s">
        <v>621</v>
      </c>
      <c r="S46" s="80" t="s">
        <v>683</v>
      </c>
      <c r="T46" s="89" t="s">
        <v>22</v>
      </c>
      <c r="U46" s="3"/>
      <c r="V46" s="3"/>
      <c r="W46" s="3"/>
      <c r="X46" s="3"/>
      <c r="Y46" s="3"/>
      <c r="Z46" s="3"/>
      <c r="AA46" s="3"/>
    </row>
    <row r="47" spans="1:27" x14ac:dyDescent="0.25">
      <c r="A47" s="20">
        <v>46</v>
      </c>
      <c r="B47" s="20" t="s">
        <v>405</v>
      </c>
      <c r="C47" s="20" t="s">
        <v>37</v>
      </c>
      <c r="D47" s="20">
        <v>2014</v>
      </c>
      <c r="E47" s="20" t="s">
        <v>49</v>
      </c>
      <c r="F47" s="20" t="s">
        <v>62</v>
      </c>
      <c r="G47" s="95" t="s">
        <v>63</v>
      </c>
      <c r="H47" s="20" t="s">
        <v>30</v>
      </c>
      <c r="I47" s="20" t="s">
        <v>65</v>
      </c>
      <c r="J47" s="20" t="s">
        <v>9</v>
      </c>
      <c r="K47" s="20" t="s">
        <v>27</v>
      </c>
      <c r="L47" s="20" t="s">
        <v>140</v>
      </c>
      <c r="M47" s="20" t="s">
        <v>19</v>
      </c>
      <c r="N47" s="20" t="s">
        <v>9</v>
      </c>
      <c r="O47" s="20" t="s">
        <v>9</v>
      </c>
      <c r="P47" s="20" t="s">
        <v>11</v>
      </c>
      <c r="Q47" s="20" t="s">
        <v>587</v>
      </c>
      <c r="R47" s="20" t="s">
        <v>603</v>
      </c>
      <c r="S47" s="69" t="s">
        <v>22</v>
      </c>
      <c r="T47" s="74" t="s">
        <v>687</v>
      </c>
      <c r="U47" s="3"/>
      <c r="V47" s="3"/>
      <c r="W47" s="3"/>
      <c r="X47" s="3"/>
      <c r="Y47" s="3"/>
      <c r="Z47" s="3"/>
      <c r="AA47" s="3"/>
    </row>
    <row r="48" spans="1:27" x14ac:dyDescent="0.25">
      <c r="A48" s="20">
        <v>47</v>
      </c>
      <c r="B48" s="25" t="s">
        <v>565</v>
      </c>
      <c r="C48" s="20" t="s">
        <v>564</v>
      </c>
      <c r="D48" s="20">
        <v>2019</v>
      </c>
      <c r="E48" s="20" t="s">
        <v>197</v>
      </c>
      <c r="F48" s="20" t="s">
        <v>540</v>
      </c>
      <c r="G48" s="95" t="s">
        <v>106</v>
      </c>
      <c r="H48" s="20" t="s">
        <v>74</v>
      </c>
      <c r="I48" s="20" t="s">
        <v>545</v>
      </c>
      <c r="J48" s="20" t="s">
        <v>21</v>
      </c>
      <c r="K48" s="20" t="s">
        <v>78</v>
      </c>
      <c r="L48" s="20" t="s">
        <v>140</v>
      </c>
      <c r="M48" s="20" t="s">
        <v>10</v>
      </c>
      <c r="N48" s="20" t="s">
        <v>9</v>
      </c>
      <c r="O48" s="20" t="s">
        <v>9</v>
      </c>
      <c r="P48" s="20" t="s">
        <v>649</v>
      </c>
      <c r="Q48" s="20" t="s">
        <v>587</v>
      </c>
      <c r="R48" s="20" t="s">
        <v>659</v>
      </c>
      <c r="S48" s="80" t="s">
        <v>683</v>
      </c>
      <c r="T48" s="73" t="s">
        <v>697</v>
      </c>
      <c r="U48" s="3"/>
      <c r="V48" s="3"/>
      <c r="W48" s="3"/>
      <c r="X48" s="3"/>
      <c r="Y48" s="3"/>
      <c r="Z48" s="3"/>
      <c r="AA48" s="3"/>
    </row>
    <row r="49" spans="1:123" s="2" customFormat="1" x14ac:dyDescent="0.25">
      <c r="A49" s="20">
        <v>48</v>
      </c>
      <c r="B49" s="20" t="s">
        <v>406</v>
      </c>
      <c r="C49" s="20" t="s">
        <v>88</v>
      </c>
      <c r="D49" s="20">
        <v>2003</v>
      </c>
      <c r="E49" s="20" t="s">
        <v>83</v>
      </c>
      <c r="F49" s="20" t="s">
        <v>87</v>
      </c>
      <c r="G49" s="95" t="s">
        <v>89</v>
      </c>
      <c r="H49" s="20" t="s">
        <v>17</v>
      </c>
      <c r="I49" s="20" t="s">
        <v>85</v>
      </c>
      <c r="J49" s="20" t="s">
        <v>59</v>
      </c>
      <c r="K49" s="20" t="s">
        <v>189</v>
      </c>
      <c r="L49" s="20" t="s">
        <v>140</v>
      </c>
      <c r="M49" s="20" t="s">
        <v>29</v>
      </c>
      <c r="N49" s="20" t="s">
        <v>21</v>
      </c>
      <c r="O49" s="20" t="s">
        <v>21</v>
      </c>
      <c r="P49" s="20" t="s">
        <v>90</v>
      </c>
      <c r="Q49" s="20" t="s">
        <v>587</v>
      </c>
      <c r="R49" s="20" t="s">
        <v>641</v>
      </c>
      <c r="S49" s="72" t="s">
        <v>683</v>
      </c>
      <c r="T49" s="88" t="s">
        <v>623</v>
      </c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  <c r="DN49" s="3"/>
      <c r="DO49" s="3"/>
      <c r="DP49" s="3"/>
      <c r="DQ49" s="3"/>
      <c r="DR49" s="3"/>
      <c r="DS49" s="3"/>
    </row>
    <row r="50" spans="1:123" x14ac:dyDescent="0.25">
      <c r="A50" s="20">
        <v>49</v>
      </c>
      <c r="B50" s="25" t="s">
        <v>458</v>
      </c>
      <c r="C50" s="20" t="s">
        <v>438</v>
      </c>
      <c r="D50" s="20">
        <v>1991</v>
      </c>
      <c r="E50" s="20" t="s">
        <v>187</v>
      </c>
      <c r="F50" s="20" t="s">
        <v>439</v>
      </c>
      <c r="G50" s="95" t="s">
        <v>440</v>
      </c>
      <c r="H50" s="20" t="s">
        <v>74</v>
      </c>
      <c r="I50" s="20" t="s">
        <v>250</v>
      </c>
      <c r="J50" s="20" t="s">
        <v>21</v>
      </c>
      <c r="K50" s="20" t="s">
        <v>28</v>
      </c>
      <c r="L50" s="20" t="s">
        <v>140</v>
      </c>
      <c r="M50" s="20" t="s">
        <v>20</v>
      </c>
      <c r="N50" s="20" t="s">
        <v>21</v>
      </c>
      <c r="O50" s="20" t="s">
        <v>21</v>
      </c>
      <c r="P50" s="20" t="s">
        <v>459</v>
      </c>
      <c r="Q50" s="20" t="s">
        <v>587</v>
      </c>
      <c r="R50" s="20" t="s">
        <v>607</v>
      </c>
      <c r="S50" s="81" t="s">
        <v>688</v>
      </c>
      <c r="T50" s="88" t="s">
        <v>22</v>
      </c>
      <c r="U50" s="3"/>
      <c r="V50" s="3"/>
      <c r="W50" s="3"/>
      <c r="X50" s="3"/>
      <c r="Y50" s="3"/>
      <c r="Z50" s="3"/>
      <c r="AA50" s="3"/>
    </row>
    <row r="51" spans="1:123" x14ac:dyDescent="0.25">
      <c r="A51" s="20">
        <v>50</v>
      </c>
      <c r="B51" s="20" t="s">
        <v>407</v>
      </c>
      <c r="C51" s="20" t="s">
        <v>102</v>
      </c>
      <c r="D51" s="20">
        <v>2004</v>
      </c>
      <c r="E51" s="20" t="s">
        <v>101</v>
      </c>
      <c r="F51" s="20" t="s">
        <v>73</v>
      </c>
      <c r="G51" s="95" t="s">
        <v>72</v>
      </c>
      <c r="H51" s="20" t="s">
        <v>74</v>
      </c>
      <c r="I51" s="20" t="s">
        <v>173</v>
      </c>
      <c r="J51" s="20" t="s">
        <v>21</v>
      </c>
      <c r="K51" s="20" t="s">
        <v>28</v>
      </c>
      <c r="L51" s="20" t="s">
        <v>140</v>
      </c>
      <c r="M51" s="20" t="s">
        <v>20</v>
      </c>
      <c r="N51" s="20" t="s">
        <v>9</v>
      </c>
      <c r="O51" s="20" t="s">
        <v>21</v>
      </c>
      <c r="P51" s="20" t="s">
        <v>95</v>
      </c>
      <c r="Q51" s="20" t="s">
        <v>587</v>
      </c>
      <c r="R51" s="20" t="s">
        <v>679</v>
      </c>
      <c r="S51" s="69"/>
      <c r="T51" s="73" t="s">
        <v>698</v>
      </c>
      <c r="U51" s="3"/>
      <c r="V51" s="3"/>
      <c r="W51" s="3"/>
      <c r="X51" s="3"/>
      <c r="Y51" s="3"/>
      <c r="Z51" s="3"/>
      <c r="AA51" s="3"/>
    </row>
    <row r="52" spans="1:123" x14ac:dyDescent="0.25">
      <c r="A52" s="99">
        <v>51</v>
      </c>
      <c r="B52" s="28" t="s">
        <v>408</v>
      </c>
      <c r="C52" s="28" t="s">
        <v>234</v>
      </c>
      <c r="D52" s="28">
        <v>2002</v>
      </c>
      <c r="E52" s="28" t="s">
        <v>46</v>
      </c>
      <c r="F52" s="28" t="s">
        <v>320</v>
      </c>
      <c r="G52" s="100" t="s">
        <v>235</v>
      </c>
      <c r="H52" s="28" t="s">
        <v>180</v>
      </c>
      <c r="I52" s="28" t="s">
        <v>321</v>
      </c>
      <c r="J52" s="28" t="s">
        <v>59</v>
      </c>
      <c r="K52" s="28" t="s">
        <v>231</v>
      </c>
      <c r="L52" s="28" t="s">
        <v>140</v>
      </c>
      <c r="M52" s="28" t="s">
        <v>20</v>
      </c>
      <c r="N52" s="28" t="s">
        <v>9</v>
      </c>
      <c r="O52" s="28" t="s">
        <v>21</v>
      </c>
      <c r="P52" s="28" t="s">
        <v>233</v>
      </c>
      <c r="Q52" s="28" t="s">
        <v>585</v>
      </c>
      <c r="R52" s="28" t="s">
        <v>663</v>
      </c>
      <c r="S52" s="69"/>
      <c r="T52" s="69"/>
      <c r="U52" s="3"/>
      <c r="V52" s="3"/>
      <c r="W52" s="3"/>
      <c r="X52" s="3"/>
      <c r="Y52" s="3"/>
      <c r="Z52" s="3"/>
      <c r="AA52" s="3"/>
    </row>
    <row r="53" spans="1:123" x14ac:dyDescent="0.25">
      <c r="A53" s="20">
        <v>52</v>
      </c>
      <c r="B53" s="20" t="s">
        <v>378</v>
      </c>
      <c r="C53" s="25" t="s">
        <v>244</v>
      </c>
      <c r="D53" s="20">
        <v>2015</v>
      </c>
      <c r="E53" s="20" t="s">
        <v>46</v>
      </c>
      <c r="F53" s="20" t="s">
        <v>335</v>
      </c>
      <c r="G53" s="95" t="s">
        <v>332</v>
      </c>
      <c r="H53" s="20" t="s">
        <v>239</v>
      </c>
      <c r="I53" s="20" t="s">
        <v>333</v>
      </c>
      <c r="J53" s="20" t="s">
        <v>21</v>
      </c>
      <c r="K53" s="20" t="s">
        <v>189</v>
      </c>
      <c r="L53" s="20" t="s">
        <v>140</v>
      </c>
      <c r="M53" s="20" t="s">
        <v>29</v>
      </c>
      <c r="N53" s="20" t="s">
        <v>21</v>
      </c>
      <c r="O53" s="20" t="s">
        <v>21</v>
      </c>
      <c r="P53" s="20" t="s">
        <v>334</v>
      </c>
      <c r="Q53" s="20" t="s">
        <v>587</v>
      </c>
      <c r="R53" s="20" t="s">
        <v>641</v>
      </c>
      <c r="S53" s="82" t="s">
        <v>688</v>
      </c>
      <c r="T53" s="82" t="s">
        <v>699</v>
      </c>
      <c r="U53" s="3"/>
      <c r="V53" s="3"/>
      <c r="W53" s="3"/>
      <c r="X53" s="3"/>
      <c r="Y53" s="3"/>
      <c r="Z53" s="3"/>
      <c r="AA53" s="3"/>
    </row>
    <row r="54" spans="1:123" x14ac:dyDescent="0.25">
      <c r="A54" s="20">
        <v>53</v>
      </c>
      <c r="B54" s="20" t="s">
        <v>542</v>
      </c>
      <c r="C54" s="20" t="s">
        <v>538</v>
      </c>
      <c r="D54" s="20">
        <v>2020</v>
      </c>
      <c r="E54" s="20" t="s">
        <v>539</v>
      </c>
      <c r="F54" s="20" t="s">
        <v>540</v>
      </c>
      <c r="G54" s="95" t="s">
        <v>106</v>
      </c>
      <c r="H54" s="20" t="s">
        <v>74</v>
      </c>
      <c r="I54" s="20" t="s">
        <v>545</v>
      </c>
      <c r="J54" s="20" t="s">
        <v>21</v>
      </c>
      <c r="K54" s="20" t="s">
        <v>78</v>
      </c>
      <c r="L54" s="20" t="s">
        <v>140</v>
      </c>
      <c r="M54" s="20" t="s">
        <v>10</v>
      </c>
      <c r="N54" s="20" t="s">
        <v>9</v>
      </c>
      <c r="O54" s="20" t="s">
        <v>9</v>
      </c>
      <c r="P54" s="20" t="s">
        <v>143</v>
      </c>
      <c r="Q54" s="20" t="s">
        <v>587</v>
      </c>
      <c r="R54" s="20" t="s">
        <v>726</v>
      </c>
      <c r="S54" s="72" t="s">
        <v>683</v>
      </c>
      <c r="T54" s="91" t="s">
        <v>719</v>
      </c>
      <c r="U54" s="3"/>
      <c r="V54" s="3"/>
      <c r="W54" s="3"/>
      <c r="X54" s="3"/>
      <c r="Y54" s="3"/>
      <c r="Z54" s="3"/>
      <c r="AA54" s="3"/>
    </row>
    <row r="55" spans="1:123" s="2" customFormat="1" x14ac:dyDescent="0.25">
      <c r="A55" s="20">
        <v>54</v>
      </c>
      <c r="B55" s="20" t="s">
        <v>409</v>
      </c>
      <c r="C55" s="20" t="s">
        <v>84</v>
      </c>
      <c r="D55" s="20">
        <v>2007</v>
      </c>
      <c r="E55" s="20" t="s">
        <v>83</v>
      </c>
      <c r="F55" s="20" t="s">
        <v>81</v>
      </c>
      <c r="G55" s="95" t="s">
        <v>82</v>
      </c>
      <c r="H55" s="20" t="s">
        <v>17</v>
      </c>
      <c r="I55" s="20" t="s">
        <v>86</v>
      </c>
      <c r="J55" s="20" t="s">
        <v>59</v>
      </c>
      <c r="K55" s="20" t="s">
        <v>189</v>
      </c>
      <c r="L55" s="20" t="s">
        <v>140</v>
      </c>
      <c r="M55" s="20" t="s">
        <v>20</v>
      </c>
      <c r="N55" s="20" t="s">
        <v>9</v>
      </c>
      <c r="O55" s="20" t="s">
        <v>21</v>
      </c>
      <c r="P55" s="20" t="s">
        <v>733</v>
      </c>
      <c r="Q55" s="20" t="s">
        <v>587</v>
      </c>
      <c r="R55" s="20" t="s">
        <v>660</v>
      </c>
      <c r="S55" s="82" t="s">
        <v>688</v>
      </c>
      <c r="T55" s="69" t="s">
        <v>700</v>
      </c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  <c r="DN55" s="3"/>
      <c r="DO55" s="3"/>
      <c r="DP55" s="3"/>
      <c r="DQ55" s="3"/>
      <c r="DR55" s="3"/>
      <c r="DS55" s="3"/>
    </row>
    <row r="56" spans="1:123" x14ac:dyDescent="0.25">
      <c r="A56" s="20">
        <v>55</v>
      </c>
      <c r="B56" s="20" t="s">
        <v>367</v>
      </c>
      <c r="C56" s="20" t="s">
        <v>84</v>
      </c>
      <c r="D56" s="20">
        <v>2010</v>
      </c>
      <c r="E56" s="20" t="s">
        <v>98</v>
      </c>
      <c r="F56" s="20" t="s">
        <v>342</v>
      </c>
      <c r="G56" s="95" t="s">
        <v>133</v>
      </c>
      <c r="H56" s="20" t="s">
        <v>180</v>
      </c>
      <c r="I56" s="20" t="s">
        <v>250</v>
      </c>
      <c r="J56" s="20" t="s">
        <v>21</v>
      </c>
      <c r="K56" s="20" t="s">
        <v>189</v>
      </c>
      <c r="L56" s="20" t="s">
        <v>140</v>
      </c>
      <c r="M56" s="20" t="s">
        <v>20</v>
      </c>
      <c r="N56" s="20" t="s">
        <v>9</v>
      </c>
      <c r="O56" s="20" t="s">
        <v>21</v>
      </c>
      <c r="P56" s="20" t="s">
        <v>294</v>
      </c>
      <c r="Q56" s="20" t="s">
        <v>587</v>
      </c>
      <c r="R56" s="20" t="s">
        <v>740</v>
      </c>
      <c r="S56" s="69"/>
      <c r="T56" s="69"/>
      <c r="U56" s="3"/>
      <c r="V56" s="3"/>
      <c r="W56" s="3"/>
      <c r="X56" s="3"/>
      <c r="Y56" s="3"/>
      <c r="Z56" s="3"/>
      <c r="AA56" s="3"/>
    </row>
    <row r="57" spans="1:123" x14ac:dyDescent="0.25">
      <c r="A57" s="20">
        <v>56</v>
      </c>
      <c r="B57" s="20" t="s">
        <v>359</v>
      </c>
      <c r="C57" s="20" t="s">
        <v>193</v>
      </c>
      <c r="D57" s="20">
        <v>2016</v>
      </c>
      <c r="E57" s="20" t="s">
        <v>194</v>
      </c>
      <c r="F57" s="20" t="s">
        <v>195</v>
      </c>
      <c r="G57" s="95" t="s">
        <v>196</v>
      </c>
      <c r="H57" s="20" t="s">
        <v>17</v>
      </c>
      <c r="I57" s="20" t="s">
        <v>348</v>
      </c>
      <c r="J57" s="20" t="s">
        <v>59</v>
      </c>
      <c r="K57" s="20" t="s">
        <v>189</v>
      </c>
      <c r="L57" s="20" t="s">
        <v>140</v>
      </c>
      <c r="M57" s="20" t="s">
        <v>29</v>
      </c>
      <c r="N57" s="20" t="s">
        <v>21</v>
      </c>
      <c r="O57" s="20" t="s">
        <v>21</v>
      </c>
      <c r="P57" s="20" t="s">
        <v>349</v>
      </c>
      <c r="Q57" s="20" t="s">
        <v>587</v>
      </c>
      <c r="R57" s="20" t="s">
        <v>702</v>
      </c>
      <c r="S57" s="69" t="s">
        <v>22</v>
      </c>
      <c r="T57" s="69" t="s">
        <v>724</v>
      </c>
      <c r="U57" s="3"/>
      <c r="V57" s="3"/>
      <c r="W57" s="3"/>
      <c r="X57" s="3"/>
      <c r="Y57" s="3"/>
      <c r="Z57" s="3"/>
      <c r="AA57" s="3"/>
    </row>
    <row r="58" spans="1:123" x14ac:dyDescent="0.25">
      <c r="A58" s="20">
        <v>57</v>
      </c>
      <c r="B58" s="20" t="s">
        <v>351</v>
      </c>
      <c r="C58" s="20" t="s">
        <v>193</v>
      </c>
      <c r="D58" s="20">
        <v>2017</v>
      </c>
      <c r="E58" s="20" t="s">
        <v>98</v>
      </c>
      <c r="F58" s="20" t="s">
        <v>195</v>
      </c>
      <c r="G58" s="95" t="s">
        <v>196</v>
      </c>
      <c r="H58" s="20" t="s">
        <v>17</v>
      </c>
      <c r="I58" s="20" t="s">
        <v>348</v>
      </c>
      <c r="J58" s="20" t="s">
        <v>59</v>
      </c>
      <c r="K58" s="20" t="s">
        <v>189</v>
      </c>
      <c r="L58" s="20" t="s">
        <v>140</v>
      </c>
      <c r="M58" s="20" t="s">
        <v>29</v>
      </c>
      <c r="N58" s="20" t="s">
        <v>21</v>
      </c>
      <c r="O58" s="20" t="s">
        <v>21</v>
      </c>
      <c r="P58" s="20" t="s">
        <v>349</v>
      </c>
      <c r="Q58" s="20" t="s">
        <v>587</v>
      </c>
      <c r="R58" s="20" t="s">
        <v>701</v>
      </c>
      <c r="S58" s="74" t="s">
        <v>686</v>
      </c>
      <c r="T58" s="88" t="s">
        <v>22</v>
      </c>
      <c r="U58" s="3"/>
      <c r="V58" s="3"/>
      <c r="W58" s="3"/>
      <c r="X58" s="3"/>
      <c r="Y58" s="3"/>
      <c r="Z58" s="3"/>
      <c r="AA58" s="3"/>
    </row>
    <row r="59" spans="1:123" x14ac:dyDescent="0.25">
      <c r="A59" s="24">
        <v>58</v>
      </c>
      <c r="B59" s="24" t="s">
        <v>456</v>
      </c>
      <c r="C59" s="24" t="s">
        <v>452</v>
      </c>
      <c r="D59" s="24">
        <v>2006</v>
      </c>
      <c r="E59" s="24" t="s">
        <v>311</v>
      </c>
      <c r="F59" s="24" t="s">
        <v>454</v>
      </c>
      <c r="G59" s="96" t="s">
        <v>455</v>
      </c>
      <c r="H59" s="24" t="s">
        <v>17</v>
      </c>
      <c r="I59" s="24" t="s">
        <v>8</v>
      </c>
      <c r="J59" s="24" t="s">
        <v>9</v>
      </c>
      <c r="K59" s="24" t="s">
        <v>28</v>
      </c>
      <c r="L59" s="24" t="s">
        <v>140</v>
      </c>
      <c r="M59" s="24" t="s">
        <v>29</v>
      </c>
      <c r="N59" s="24" t="s">
        <v>21</v>
      </c>
      <c r="O59" s="24" t="s">
        <v>21</v>
      </c>
      <c r="P59" s="24" t="s">
        <v>620</v>
      </c>
      <c r="Q59" s="24" t="s">
        <v>192</v>
      </c>
      <c r="R59" s="24" t="s">
        <v>603</v>
      </c>
      <c r="S59" s="69" t="s">
        <v>22</v>
      </c>
      <c r="T59" s="69" t="s">
        <v>703</v>
      </c>
      <c r="U59" s="3"/>
      <c r="V59" s="3"/>
      <c r="W59" s="3"/>
      <c r="X59" s="3"/>
      <c r="Y59" s="3"/>
      <c r="Z59" s="3"/>
      <c r="AA59" s="3"/>
    </row>
    <row r="60" spans="1:123" x14ac:dyDescent="0.25">
      <c r="A60" s="20">
        <v>59</v>
      </c>
      <c r="B60" s="25" t="s">
        <v>469</v>
      </c>
      <c r="C60" s="20" t="s">
        <v>305</v>
      </c>
      <c r="D60" s="20">
        <v>2021</v>
      </c>
      <c r="E60" s="20" t="s">
        <v>539</v>
      </c>
      <c r="F60" s="20" t="s">
        <v>306</v>
      </c>
      <c r="G60" s="95" t="s">
        <v>307</v>
      </c>
      <c r="H60" s="20" t="s">
        <v>230</v>
      </c>
      <c r="I60" s="20" t="s">
        <v>470</v>
      </c>
      <c r="J60" s="20" t="s">
        <v>59</v>
      </c>
      <c r="K60" s="20" t="s">
        <v>28</v>
      </c>
      <c r="L60" s="20" t="s">
        <v>140</v>
      </c>
      <c r="M60" s="20" t="s">
        <v>29</v>
      </c>
      <c r="N60" s="20" t="s">
        <v>21</v>
      </c>
      <c r="O60" s="20" t="s">
        <v>21</v>
      </c>
      <c r="P60" s="20" t="s">
        <v>243</v>
      </c>
      <c r="Q60" s="20" t="s">
        <v>587</v>
      </c>
      <c r="R60" s="20" t="s">
        <v>617</v>
      </c>
      <c r="S60" s="73"/>
      <c r="T60" s="73"/>
      <c r="U60" s="3"/>
      <c r="V60" s="3"/>
      <c r="W60" s="3"/>
      <c r="X60" s="3"/>
      <c r="Y60" s="3"/>
      <c r="Z60" s="3"/>
      <c r="AA60" s="3"/>
    </row>
    <row r="61" spans="1:123" x14ac:dyDescent="0.25">
      <c r="A61" s="20">
        <v>60</v>
      </c>
      <c r="B61" s="103" t="s">
        <v>589</v>
      </c>
      <c r="C61" s="20" t="s">
        <v>591</v>
      </c>
      <c r="D61" s="20">
        <v>2010</v>
      </c>
      <c r="E61" s="20" t="s">
        <v>592</v>
      </c>
      <c r="F61" s="20" t="s">
        <v>590</v>
      </c>
      <c r="G61" s="95" t="s">
        <v>593</v>
      </c>
      <c r="H61" s="20" t="s">
        <v>74</v>
      </c>
      <c r="I61" s="20" t="s">
        <v>250</v>
      </c>
      <c r="J61" s="20" t="s">
        <v>59</v>
      </c>
      <c r="K61" s="20" t="s">
        <v>28</v>
      </c>
      <c r="L61" s="20" t="s">
        <v>140</v>
      </c>
      <c r="M61" s="20" t="s">
        <v>10</v>
      </c>
      <c r="N61" s="20" t="s">
        <v>9</v>
      </c>
      <c r="O61" s="20" t="s">
        <v>9</v>
      </c>
      <c r="P61" s="20" t="s">
        <v>594</v>
      </c>
      <c r="Q61" s="20" t="s">
        <v>587</v>
      </c>
      <c r="R61" s="20" t="s">
        <v>665</v>
      </c>
      <c r="S61" s="73"/>
      <c r="T61" s="73"/>
      <c r="U61" s="3"/>
      <c r="V61" s="3"/>
      <c r="W61" s="3"/>
      <c r="X61" s="3"/>
      <c r="Y61" s="3"/>
      <c r="Z61" s="3"/>
      <c r="AA61" s="3"/>
    </row>
    <row r="62" spans="1:123" x14ac:dyDescent="0.25">
      <c r="A62" s="20">
        <v>61</v>
      </c>
      <c r="B62" s="20" t="s">
        <v>410</v>
      </c>
      <c r="C62" s="25" t="s">
        <v>117</v>
      </c>
      <c r="D62" s="20">
        <v>2008</v>
      </c>
      <c r="E62" s="20" t="s">
        <v>118</v>
      </c>
      <c r="F62" s="20" t="s">
        <v>119</v>
      </c>
      <c r="G62" s="95" t="s">
        <v>120</v>
      </c>
      <c r="H62" s="20" t="s">
        <v>74</v>
      </c>
      <c r="I62" s="20" t="s">
        <v>250</v>
      </c>
      <c r="J62" s="20" t="s">
        <v>21</v>
      </c>
      <c r="K62" s="20" t="s">
        <v>78</v>
      </c>
      <c r="L62" s="20" t="s">
        <v>140</v>
      </c>
      <c r="M62" s="20" t="s">
        <v>20</v>
      </c>
      <c r="N62" s="20" t="s">
        <v>9</v>
      </c>
      <c r="O62" s="20" t="s">
        <v>21</v>
      </c>
      <c r="P62" s="20" t="s">
        <v>130</v>
      </c>
      <c r="Q62" s="20" t="s">
        <v>587</v>
      </c>
      <c r="R62" s="20" t="s">
        <v>656</v>
      </c>
      <c r="S62" s="69"/>
      <c r="T62" s="69"/>
      <c r="U62" s="3"/>
      <c r="V62" s="3"/>
      <c r="W62" s="3"/>
      <c r="X62" s="3"/>
      <c r="Y62" s="3"/>
      <c r="Z62" s="3"/>
      <c r="AA62" s="3"/>
    </row>
    <row r="63" spans="1:123" x14ac:dyDescent="0.25">
      <c r="A63" s="20">
        <v>62</v>
      </c>
      <c r="B63" s="25" t="s">
        <v>556</v>
      </c>
      <c r="C63" s="20" t="s">
        <v>552</v>
      </c>
      <c r="D63" s="20">
        <v>2018</v>
      </c>
      <c r="E63" s="20" t="s">
        <v>553</v>
      </c>
      <c r="F63" s="20" t="s">
        <v>554</v>
      </c>
      <c r="G63" s="95" t="s">
        <v>555</v>
      </c>
      <c r="H63" s="20" t="s">
        <v>74</v>
      </c>
      <c r="I63" s="20" t="s">
        <v>326</v>
      </c>
      <c r="J63" s="20" t="s">
        <v>21</v>
      </c>
      <c r="K63" s="20" t="s">
        <v>28</v>
      </c>
      <c r="L63" s="20" t="s">
        <v>140</v>
      </c>
      <c r="M63" s="20" t="s">
        <v>10</v>
      </c>
      <c r="N63" s="20" t="s">
        <v>9</v>
      </c>
      <c r="O63" s="20" t="s">
        <v>9</v>
      </c>
      <c r="P63" s="20" t="s">
        <v>22</v>
      </c>
      <c r="Q63" s="20" t="s">
        <v>587</v>
      </c>
      <c r="R63" s="20" t="s">
        <v>665</v>
      </c>
      <c r="S63" s="73"/>
      <c r="T63" s="73"/>
      <c r="U63" s="3"/>
      <c r="V63" s="3"/>
      <c r="W63" s="3"/>
      <c r="X63" s="3"/>
      <c r="Y63" s="3"/>
      <c r="Z63" s="3"/>
      <c r="AA63" s="3"/>
    </row>
    <row r="64" spans="1:123" x14ac:dyDescent="0.25">
      <c r="A64" s="20">
        <v>63</v>
      </c>
      <c r="B64" s="20" t="s">
        <v>376</v>
      </c>
      <c r="C64" s="20" t="s">
        <v>126</v>
      </c>
      <c r="D64" s="20">
        <v>2014</v>
      </c>
      <c r="E64" s="20" t="s">
        <v>46</v>
      </c>
      <c r="F64" s="20" t="s">
        <v>337</v>
      </c>
      <c r="G64" s="95" t="s">
        <v>188</v>
      </c>
      <c r="H64" s="20" t="s">
        <v>74</v>
      </c>
      <c r="I64" s="20" t="s">
        <v>190</v>
      </c>
      <c r="J64" s="20" t="s">
        <v>21</v>
      </c>
      <c r="K64" s="20" t="s">
        <v>189</v>
      </c>
      <c r="L64" s="20" t="s">
        <v>140</v>
      </c>
      <c r="M64" s="20" t="s">
        <v>29</v>
      </c>
      <c r="N64" s="20" t="s">
        <v>21</v>
      </c>
      <c r="O64" s="20" t="s">
        <v>21</v>
      </c>
      <c r="P64" s="20" t="s">
        <v>191</v>
      </c>
      <c r="Q64" s="20" t="s">
        <v>587</v>
      </c>
      <c r="R64" s="20" t="s">
        <v>666</v>
      </c>
      <c r="S64" s="69"/>
      <c r="T64" s="69" t="s">
        <v>703</v>
      </c>
      <c r="U64" s="3"/>
      <c r="V64" s="3"/>
      <c r="W64" s="3"/>
      <c r="X64" s="3"/>
      <c r="Y64" s="3"/>
      <c r="Z64" s="3"/>
      <c r="AA64" s="3"/>
    </row>
    <row r="65" spans="1:123" x14ac:dyDescent="0.25">
      <c r="A65" s="20">
        <v>64</v>
      </c>
      <c r="B65" s="20" t="s">
        <v>366</v>
      </c>
      <c r="C65" s="20" t="s">
        <v>92</v>
      </c>
      <c r="D65" s="20">
        <v>2019</v>
      </c>
      <c r="E65" s="20" t="s">
        <v>572</v>
      </c>
      <c r="F65" s="20" t="s">
        <v>52</v>
      </c>
      <c r="G65" s="95" t="s">
        <v>51</v>
      </c>
      <c r="H65" s="20" t="s">
        <v>30</v>
      </c>
      <c r="I65" s="20" t="s">
        <v>93</v>
      </c>
      <c r="J65" s="20" t="s">
        <v>9</v>
      </c>
      <c r="K65" s="20" t="s">
        <v>27</v>
      </c>
      <c r="L65" s="20" t="s">
        <v>140</v>
      </c>
      <c r="M65" s="20" t="s">
        <v>19</v>
      </c>
      <c r="N65" s="20" t="s">
        <v>9</v>
      </c>
      <c r="O65" s="20" t="s">
        <v>9</v>
      </c>
      <c r="P65" s="20" t="s">
        <v>731</v>
      </c>
      <c r="Q65" s="20" t="s">
        <v>587</v>
      </c>
      <c r="R65" s="20" t="s">
        <v>607</v>
      </c>
      <c r="S65" s="72" t="s">
        <v>683</v>
      </c>
      <c r="T65" s="88" t="s">
        <v>22</v>
      </c>
      <c r="U65" s="3"/>
      <c r="V65" s="3"/>
      <c r="W65" s="3"/>
      <c r="X65" s="3"/>
      <c r="Y65" s="3"/>
      <c r="Z65" s="3"/>
      <c r="AA65" s="3"/>
    </row>
    <row r="66" spans="1:123" x14ac:dyDescent="0.25">
      <c r="A66" s="20">
        <v>65</v>
      </c>
      <c r="B66" s="20" t="s">
        <v>546</v>
      </c>
      <c r="C66" s="20" t="s">
        <v>541</v>
      </c>
      <c r="D66" s="20">
        <v>2017</v>
      </c>
      <c r="E66" s="20" t="s">
        <v>539</v>
      </c>
      <c r="F66" s="20" t="s">
        <v>543</v>
      </c>
      <c r="G66" s="95" t="s">
        <v>544</v>
      </c>
      <c r="H66" s="20" t="s">
        <v>74</v>
      </c>
      <c r="I66" s="20" t="s">
        <v>8</v>
      </c>
      <c r="J66" s="20" t="s">
        <v>21</v>
      </c>
      <c r="K66" s="20" t="s">
        <v>78</v>
      </c>
      <c r="L66" s="20" t="s">
        <v>140</v>
      </c>
      <c r="M66" s="20" t="s">
        <v>10</v>
      </c>
      <c r="N66" s="20" t="s">
        <v>9</v>
      </c>
      <c r="O66" s="20" t="s">
        <v>9</v>
      </c>
      <c r="P66" s="20" t="s">
        <v>650</v>
      </c>
      <c r="Q66" s="20" t="s">
        <v>587</v>
      </c>
      <c r="R66" s="20" t="s">
        <v>682</v>
      </c>
      <c r="S66" s="69" t="s">
        <v>22</v>
      </c>
      <c r="T66" s="69" t="s">
        <v>704</v>
      </c>
      <c r="U66" s="3"/>
      <c r="V66" s="3"/>
      <c r="W66" s="3"/>
      <c r="X66" s="3"/>
      <c r="Y66" s="3"/>
      <c r="Z66" s="3"/>
      <c r="AA66" s="3"/>
    </row>
    <row r="67" spans="1:123" x14ac:dyDescent="0.25">
      <c r="A67" s="24">
        <v>66</v>
      </c>
      <c r="B67" s="24" t="s">
        <v>411</v>
      </c>
      <c r="C67" s="24" t="s">
        <v>300</v>
      </c>
      <c r="D67" s="24">
        <v>2004</v>
      </c>
      <c r="E67" s="24" t="s">
        <v>216</v>
      </c>
      <c r="F67" s="24" t="s">
        <v>301</v>
      </c>
      <c r="G67" s="96" t="s">
        <v>346</v>
      </c>
      <c r="H67" s="24" t="s">
        <v>17</v>
      </c>
      <c r="I67" s="24" t="s">
        <v>250</v>
      </c>
      <c r="J67" s="24" t="s">
        <v>59</v>
      </c>
      <c r="K67" s="24" t="s">
        <v>28</v>
      </c>
      <c r="L67" s="24" t="s">
        <v>140</v>
      </c>
      <c r="M67" s="24" t="s">
        <v>20</v>
      </c>
      <c r="N67" s="24" t="s">
        <v>9</v>
      </c>
      <c r="O67" s="24" t="s">
        <v>21</v>
      </c>
      <c r="P67" s="24" t="s">
        <v>233</v>
      </c>
      <c r="Q67" s="24" t="s">
        <v>192</v>
      </c>
      <c r="R67" s="24" t="s">
        <v>662</v>
      </c>
      <c r="S67" s="74" t="s">
        <v>686</v>
      </c>
      <c r="T67" s="88" t="s">
        <v>22</v>
      </c>
      <c r="U67" s="3"/>
      <c r="V67" s="3"/>
      <c r="W67" s="3"/>
      <c r="X67" s="3"/>
      <c r="Y67" s="3"/>
      <c r="Z67" s="3"/>
      <c r="AA67" s="3"/>
    </row>
    <row r="68" spans="1:123" x14ac:dyDescent="0.25">
      <c r="A68" s="20">
        <v>67</v>
      </c>
      <c r="B68" s="20" t="s">
        <v>412</v>
      </c>
      <c r="C68" s="20" t="s">
        <v>269</v>
      </c>
      <c r="D68" s="20">
        <v>1991</v>
      </c>
      <c r="E68" s="20" t="s">
        <v>43</v>
      </c>
      <c r="F68" s="20" t="s">
        <v>270</v>
      </c>
      <c r="G68" s="95" t="s">
        <v>271</v>
      </c>
      <c r="H68" s="20" t="s">
        <v>322</v>
      </c>
      <c r="I68" s="20" t="s">
        <v>276</v>
      </c>
      <c r="J68" s="20" t="s">
        <v>21</v>
      </c>
      <c r="K68" s="20" t="s">
        <v>28</v>
      </c>
      <c r="L68" s="20" t="s">
        <v>139</v>
      </c>
      <c r="M68" s="20" t="s">
        <v>136</v>
      </c>
      <c r="N68" s="20" t="s">
        <v>21</v>
      </c>
      <c r="O68" s="20" t="s">
        <v>21</v>
      </c>
      <c r="P68" s="20" t="s">
        <v>22</v>
      </c>
      <c r="Q68" s="20" t="s">
        <v>587</v>
      </c>
      <c r="R68" s="20" t="s">
        <v>658</v>
      </c>
      <c r="S68" s="69"/>
      <c r="T68" s="69"/>
      <c r="U68" s="3"/>
      <c r="V68" s="3"/>
      <c r="W68" s="3"/>
      <c r="X68" s="3"/>
      <c r="Y68" s="3"/>
      <c r="Z68" s="3"/>
      <c r="AA68" s="3"/>
    </row>
    <row r="69" spans="1:123" x14ac:dyDescent="0.25">
      <c r="A69" s="20">
        <v>68</v>
      </c>
      <c r="B69" s="25" t="s">
        <v>506</v>
      </c>
      <c r="C69" s="20" t="s">
        <v>507</v>
      </c>
      <c r="D69" s="20">
        <v>2016</v>
      </c>
      <c r="E69" s="20" t="s">
        <v>46</v>
      </c>
      <c r="F69" s="20" t="s">
        <v>508</v>
      </c>
      <c r="G69" s="95" t="s">
        <v>509</v>
      </c>
      <c r="H69" s="20" t="s">
        <v>116</v>
      </c>
      <c r="I69" s="20" t="s">
        <v>129</v>
      </c>
      <c r="J69" s="20" t="s">
        <v>21</v>
      </c>
      <c r="K69" s="20" t="s">
        <v>28</v>
      </c>
      <c r="L69" s="20" t="s">
        <v>140</v>
      </c>
      <c r="M69" s="20" t="s">
        <v>20</v>
      </c>
      <c r="N69" s="20" t="s">
        <v>9</v>
      </c>
      <c r="O69" s="20" t="s">
        <v>21</v>
      </c>
      <c r="P69" s="20" t="s">
        <v>451</v>
      </c>
      <c r="Q69" s="20" t="s">
        <v>587</v>
      </c>
      <c r="R69" s="20" t="s">
        <v>621</v>
      </c>
      <c r="S69" s="81" t="s">
        <v>688</v>
      </c>
      <c r="T69" s="89" t="s">
        <v>22</v>
      </c>
      <c r="U69" s="3"/>
      <c r="V69" s="3"/>
      <c r="W69" s="3"/>
      <c r="X69" s="3"/>
      <c r="Y69" s="3"/>
      <c r="Z69" s="3"/>
      <c r="AA69" s="3"/>
    </row>
    <row r="70" spans="1:123" x14ac:dyDescent="0.25">
      <c r="A70" s="24">
        <v>69</v>
      </c>
      <c r="B70" s="24" t="s">
        <v>468</v>
      </c>
      <c r="C70" s="24" t="s">
        <v>272</v>
      </c>
      <c r="D70" s="24">
        <v>2001</v>
      </c>
      <c r="E70" s="24" t="s">
        <v>311</v>
      </c>
      <c r="F70" s="24" t="s">
        <v>223</v>
      </c>
      <c r="G70" s="96" t="s">
        <v>224</v>
      </c>
      <c r="H70" s="24" t="s">
        <v>17</v>
      </c>
      <c r="I70" s="24" t="s">
        <v>54</v>
      </c>
      <c r="J70" s="24" t="s">
        <v>59</v>
      </c>
      <c r="K70" s="24" t="s">
        <v>28</v>
      </c>
      <c r="L70" s="24" t="s">
        <v>140</v>
      </c>
      <c r="M70" s="24" t="s">
        <v>20</v>
      </c>
      <c r="N70" s="24" t="s">
        <v>9</v>
      </c>
      <c r="O70" s="24" t="s">
        <v>21</v>
      </c>
      <c r="P70" s="24" t="s">
        <v>620</v>
      </c>
      <c r="Q70" s="24" t="s">
        <v>192</v>
      </c>
      <c r="R70" s="24" t="s">
        <v>666</v>
      </c>
      <c r="S70" s="69"/>
      <c r="T70" s="69"/>
      <c r="U70" s="3"/>
      <c r="V70" s="3"/>
      <c r="W70" s="3"/>
      <c r="X70" s="3"/>
      <c r="Y70" s="3"/>
      <c r="Z70" s="3"/>
      <c r="AA70" s="3"/>
    </row>
    <row r="71" spans="1:123" s="2" customFormat="1" x14ac:dyDescent="0.25">
      <c r="A71" s="20">
        <v>70</v>
      </c>
      <c r="B71" s="104" t="s">
        <v>595</v>
      </c>
      <c r="C71" s="20" t="s">
        <v>596</v>
      </c>
      <c r="D71" s="20">
        <v>2007</v>
      </c>
      <c r="E71" s="20" t="s">
        <v>597</v>
      </c>
      <c r="F71" s="20" t="s">
        <v>598</v>
      </c>
      <c r="G71" s="95" t="s">
        <v>599</v>
      </c>
      <c r="H71" s="20" t="s">
        <v>74</v>
      </c>
      <c r="I71" s="20" t="s">
        <v>250</v>
      </c>
      <c r="J71" s="20" t="s">
        <v>21</v>
      </c>
      <c r="K71" s="20" t="s">
        <v>28</v>
      </c>
      <c r="L71" s="20" t="s">
        <v>140</v>
      </c>
      <c r="M71" s="20" t="s">
        <v>20</v>
      </c>
      <c r="N71" s="20" t="s">
        <v>9</v>
      </c>
      <c r="O71" s="20" t="s">
        <v>21</v>
      </c>
      <c r="P71" s="20" t="s">
        <v>600</v>
      </c>
      <c r="Q71" s="20" t="s">
        <v>587</v>
      </c>
      <c r="R71" s="20" t="s">
        <v>604</v>
      </c>
      <c r="S71" s="89" t="s">
        <v>22</v>
      </c>
      <c r="T71" s="73" t="s">
        <v>705</v>
      </c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/>
    </row>
    <row r="72" spans="1:123" x14ac:dyDescent="0.25">
      <c r="A72" s="20">
        <v>71</v>
      </c>
      <c r="B72" s="20" t="s">
        <v>413</v>
      </c>
      <c r="C72" s="20" t="s">
        <v>38</v>
      </c>
      <c r="D72" s="20">
        <v>2021</v>
      </c>
      <c r="E72" s="20" t="s">
        <v>50</v>
      </c>
      <c r="F72" s="20" t="s">
        <v>91</v>
      </c>
      <c r="G72" s="95" t="s">
        <v>142</v>
      </c>
      <c r="H72" s="20" t="s">
        <v>30</v>
      </c>
      <c r="I72" s="20" t="s">
        <v>129</v>
      </c>
      <c r="J72" s="20" t="s">
        <v>9</v>
      </c>
      <c r="K72" s="20" t="s">
        <v>27</v>
      </c>
      <c r="L72" s="20" t="s">
        <v>140</v>
      </c>
      <c r="M72" s="20" t="s">
        <v>477</v>
      </c>
      <c r="N72" s="20" t="s">
        <v>9</v>
      </c>
      <c r="O72" s="20" t="s">
        <v>9</v>
      </c>
      <c r="P72" s="20" t="s">
        <v>625</v>
      </c>
      <c r="Q72" s="20" t="s">
        <v>587</v>
      </c>
      <c r="R72" s="20" t="s">
        <v>725</v>
      </c>
      <c r="S72" s="69" t="s">
        <v>22</v>
      </c>
      <c r="T72" s="69" t="s">
        <v>690</v>
      </c>
      <c r="U72" s="3"/>
      <c r="V72" s="3"/>
      <c r="W72" s="3"/>
      <c r="X72" s="3"/>
      <c r="Y72" s="3"/>
      <c r="Z72" s="3"/>
      <c r="AA72" s="3"/>
    </row>
    <row r="73" spans="1:123" x14ac:dyDescent="0.25">
      <c r="A73" s="20">
        <v>72</v>
      </c>
      <c r="B73" s="20" t="s">
        <v>414</v>
      </c>
      <c r="C73" s="20" t="s">
        <v>146</v>
      </c>
      <c r="D73" s="20">
        <v>2001</v>
      </c>
      <c r="E73" s="20" t="s">
        <v>83</v>
      </c>
      <c r="F73" s="20" t="s">
        <v>147</v>
      </c>
      <c r="G73" s="95" t="s">
        <v>148</v>
      </c>
      <c r="H73" s="20" t="s">
        <v>17</v>
      </c>
      <c r="I73" s="20" t="s">
        <v>18</v>
      </c>
      <c r="J73" s="20" t="s">
        <v>9</v>
      </c>
      <c r="K73" s="20" t="s">
        <v>137</v>
      </c>
      <c r="L73" s="20" t="s">
        <v>140</v>
      </c>
      <c r="M73" s="20" t="s">
        <v>53</v>
      </c>
      <c r="N73" s="20" t="s">
        <v>9</v>
      </c>
      <c r="O73" s="20" t="s">
        <v>21</v>
      </c>
      <c r="P73" s="20" t="s">
        <v>732</v>
      </c>
      <c r="Q73" s="20" t="s">
        <v>587</v>
      </c>
      <c r="R73" s="20" t="s">
        <v>736</v>
      </c>
      <c r="S73" s="72" t="s">
        <v>683</v>
      </c>
      <c r="T73" s="74" t="s">
        <v>742</v>
      </c>
      <c r="U73" s="3"/>
      <c r="V73" s="3"/>
      <c r="W73" s="3"/>
      <c r="X73" s="3"/>
      <c r="Y73" s="3"/>
      <c r="Z73" s="3"/>
      <c r="AA73" s="3"/>
    </row>
    <row r="74" spans="1:123" x14ac:dyDescent="0.25">
      <c r="A74" s="20">
        <v>73</v>
      </c>
      <c r="B74" s="20" t="s">
        <v>415</v>
      </c>
      <c r="C74" s="20" t="s">
        <v>151</v>
      </c>
      <c r="D74" s="20">
        <v>2011</v>
      </c>
      <c r="E74" s="20" t="s">
        <v>101</v>
      </c>
      <c r="F74" s="20" t="s">
        <v>166</v>
      </c>
      <c r="G74" s="95" t="s">
        <v>330</v>
      </c>
      <c r="H74" s="20" t="s">
        <v>17</v>
      </c>
      <c r="I74" s="20" t="s">
        <v>18</v>
      </c>
      <c r="J74" s="20" t="s">
        <v>9</v>
      </c>
      <c r="K74" s="20" t="s">
        <v>28</v>
      </c>
      <c r="L74" s="20" t="s">
        <v>140</v>
      </c>
      <c r="M74" s="20" t="s">
        <v>29</v>
      </c>
      <c r="N74" s="20" t="s">
        <v>21</v>
      </c>
      <c r="O74" s="20" t="s">
        <v>21</v>
      </c>
      <c r="P74" s="20" t="s">
        <v>331</v>
      </c>
      <c r="Q74" s="20" t="s">
        <v>587</v>
      </c>
      <c r="R74" s="20" t="s">
        <v>706</v>
      </c>
      <c r="S74" s="72" t="s">
        <v>683</v>
      </c>
      <c r="T74" s="69" t="s">
        <v>707</v>
      </c>
      <c r="U74" s="3"/>
      <c r="V74" s="3"/>
      <c r="W74" s="3"/>
      <c r="X74" s="3"/>
      <c r="Y74" s="3"/>
      <c r="Z74" s="3"/>
      <c r="AA74" s="3"/>
    </row>
    <row r="75" spans="1:123" x14ac:dyDescent="0.25">
      <c r="A75" s="20">
        <v>74</v>
      </c>
      <c r="B75" s="25" t="s">
        <v>574</v>
      </c>
      <c r="C75" s="20" t="s">
        <v>575</v>
      </c>
      <c r="D75" s="20">
        <v>2022</v>
      </c>
      <c r="E75" s="20" t="s">
        <v>576</v>
      </c>
      <c r="F75" s="20" t="s">
        <v>577</v>
      </c>
      <c r="G75" s="95" t="s">
        <v>578</v>
      </c>
      <c r="H75" s="20" t="s">
        <v>17</v>
      </c>
      <c r="I75" s="20" t="s">
        <v>579</v>
      </c>
      <c r="J75" s="20" t="s">
        <v>9</v>
      </c>
      <c r="K75" s="20" t="s">
        <v>28</v>
      </c>
      <c r="L75" s="20" t="s">
        <v>140</v>
      </c>
      <c r="M75" s="20" t="s">
        <v>136</v>
      </c>
      <c r="N75" s="20" t="s">
        <v>21</v>
      </c>
      <c r="O75" s="20" t="s">
        <v>21</v>
      </c>
      <c r="P75" s="20" t="s">
        <v>518</v>
      </c>
      <c r="Q75" s="20" t="s">
        <v>587</v>
      </c>
      <c r="R75" s="20" t="s">
        <v>607</v>
      </c>
      <c r="S75" s="80" t="s">
        <v>683</v>
      </c>
      <c r="T75" s="89" t="s">
        <v>22</v>
      </c>
      <c r="U75" s="3"/>
      <c r="V75" s="3"/>
      <c r="W75" s="3"/>
      <c r="X75" s="3"/>
      <c r="Y75" s="3"/>
      <c r="Z75" s="3"/>
      <c r="AA75" s="3"/>
    </row>
    <row r="76" spans="1:123" x14ac:dyDescent="0.25">
      <c r="A76" s="24">
        <v>75</v>
      </c>
      <c r="B76" s="102" t="s">
        <v>457</v>
      </c>
      <c r="C76" s="24" t="s">
        <v>302</v>
      </c>
      <c r="D76" s="24">
        <v>2006</v>
      </c>
      <c r="E76" s="24" t="s">
        <v>46</v>
      </c>
      <c r="F76" s="24" t="s">
        <v>303</v>
      </c>
      <c r="G76" s="96" t="s">
        <v>304</v>
      </c>
      <c r="H76" s="24" t="s">
        <v>17</v>
      </c>
      <c r="I76" s="24" t="s">
        <v>250</v>
      </c>
      <c r="J76" s="24" t="s">
        <v>59</v>
      </c>
      <c r="K76" s="24" t="s">
        <v>28</v>
      </c>
      <c r="L76" s="24" t="s">
        <v>140</v>
      </c>
      <c r="M76" s="24" t="s">
        <v>20</v>
      </c>
      <c r="N76" s="24" t="s">
        <v>9</v>
      </c>
      <c r="O76" s="24" t="s">
        <v>21</v>
      </c>
      <c r="P76" s="24" t="s">
        <v>347</v>
      </c>
      <c r="Q76" s="24" t="s">
        <v>192</v>
      </c>
      <c r="R76" s="24" t="s">
        <v>621</v>
      </c>
      <c r="S76" s="80" t="s">
        <v>683</v>
      </c>
      <c r="T76" s="89" t="s">
        <v>22</v>
      </c>
      <c r="U76" s="3"/>
      <c r="V76" s="3"/>
      <c r="W76" s="3"/>
      <c r="X76" s="3"/>
      <c r="Y76" s="3"/>
      <c r="Z76" s="3"/>
      <c r="AA76" s="3"/>
    </row>
    <row r="77" spans="1:123" x14ac:dyDescent="0.25">
      <c r="A77" s="20">
        <v>76</v>
      </c>
      <c r="B77" s="20" t="s">
        <v>365</v>
      </c>
      <c r="C77" s="20" t="s">
        <v>32</v>
      </c>
      <c r="D77" s="20">
        <v>2013</v>
      </c>
      <c r="E77" s="20" t="s">
        <v>48</v>
      </c>
      <c r="F77" s="20" t="s">
        <v>33</v>
      </c>
      <c r="G77" s="95" t="s">
        <v>69</v>
      </c>
      <c r="H77" s="20" t="s">
        <v>30</v>
      </c>
      <c r="I77" s="20" t="s">
        <v>15</v>
      </c>
      <c r="J77" s="20" t="s">
        <v>9</v>
      </c>
      <c r="K77" s="20" t="s">
        <v>27</v>
      </c>
      <c r="L77" s="20" t="s">
        <v>140</v>
      </c>
      <c r="M77" s="20" t="s">
        <v>70</v>
      </c>
      <c r="N77" s="20" t="s">
        <v>9</v>
      </c>
      <c r="O77" s="20" t="s">
        <v>9</v>
      </c>
      <c r="P77" s="20" t="s">
        <v>55</v>
      </c>
      <c r="Q77" s="20" t="s">
        <v>587</v>
      </c>
      <c r="R77" s="20" t="s">
        <v>603</v>
      </c>
      <c r="S77" s="69" t="s">
        <v>22</v>
      </c>
      <c r="T77" s="69" t="s">
        <v>708</v>
      </c>
      <c r="U77" s="3"/>
      <c r="V77" s="3"/>
      <c r="W77" s="3"/>
      <c r="X77" s="3"/>
      <c r="Y77" s="3"/>
      <c r="Z77" s="3"/>
      <c r="AA77" s="3"/>
    </row>
    <row r="78" spans="1:123" x14ac:dyDescent="0.25">
      <c r="A78" s="20">
        <v>77</v>
      </c>
      <c r="B78" s="20" t="s">
        <v>416</v>
      </c>
      <c r="C78" s="20" t="s">
        <v>161</v>
      </c>
      <c r="D78" s="20">
        <v>2006</v>
      </c>
      <c r="E78" s="20" t="s">
        <v>98</v>
      </c>
      <c r="F78" s="20" t="s">
        <v>162</v>
      </c>
      <c r="G78" s="95" t="s">
        <v>221</v>
      </c>
      <c r="H78" s="20" t="s">
        <v>30</v>
      </c>
      <c r="I78" s="20" t="s">
        <v>250</v>
      </c>
      <c r="J78" s="20" t="s">
        <v>9</v>
      </c>
      <c r="K78" s="20" t="s">
        <v>28</v>
      </c>
      <c r="L78" s="20" t="s">
        <v>140</v>
      </c>
      <c r="M78" s="20" t="s">
        <v>29</v>
      </c>
      <c r="N78" s="20" t="s">
        <v>21</v>
      </c>
      <c r="O78" s="20" t="s">
        <v>21</v>
      </c>
      <c r="P78" s="20" t="s">
        <v>586</v>
      </c>
      <c r="Q78" s="20" t="s">
        <v>587</v>
      </c>
      <c r="R78" s="20" t="s">
        <v>622</v>
      </c>
      <c r="S78" s="69" t="s">
        <v>22</v>
      </c>
      <c r="T78" s="83" t="s">
        <v>623</v>
      </c>
      <c r="U78" s="3"/>
      <c r="V78" s="3"/>
      <c r="W78" s="3"/>
      <c r="X78" s="3"/>
      <c r="Y78" s="3"/>
      <c r="Z78" s="3"/>
      <c r="AA78" s="3"/>
    </row>
    <row r="79" spans="1:123" x14ac:dyDescent="0.25">
      <c r="A79" s="20">
        <v>78</v>
      </c>
      <c r="B79" s="25" t="s">
        <v>524</v>
      </c>
      <c r="C79" s="20" t="s">
        <v>523</v>
      </c>
      <c r="D79" s="20">
        <v>2022</v>
      </c>
      <c r="E79" s="20" t="s">
        <v>526</v>
      </c>
      <c r="F79" s="20" t="s">
        <v>491</v>
      </c>
      <c r="G79" s="95" t="s">
        <v>492</v>
      </c>
      <c r="H79" s="20" t="s">
        <v>116</v>
      </c>
      <c r="I79" s="20" t="s">
        <v>250</v>
      </c>
      <c r="J79" s="20" t="s">
        <v>453</v>
      </c>
      <c r="K79" s="20" t="s">
        <v>28</v>
      </c>
      <c r="L79" s="20" t="s">
        <v>140</v>
      </c>
      <c r="M79" s="20" t="s">
        <v>70</v>
      </c>
      <c r="N79" s="20" t="s">
        <v>9</v>
      </c>
      <c r="O79" s="20" t="s">
        <v>9</v>
      </c>
      <c r="P79" s="20" t="s">
        <v>525</v>
      </c>
      <c r="Q79" s="20" t="s">
        <v>587</v>
      </c>
      <c r="R79" s="20" t="s">
        <v>655</v>
      </c>
      <c r="S79" s="84" t="s">
        <v>688</v>
      </c>
      <c r="T79" s="73" t="s">
        <v>722</v>
      </c>
      <c r="U79" s="3"/>
      <c r="V79" s="3"/>
      <c r="W79" s="3"/>
      <c r="X79" s="3"/>
      <c r="Y79" s="3"/>
      <c r="Z79" s="3"/>
      <c r="AA79" s="3"/>
    </row>
    <row r="80" spans="1:123" x14ac:dyDescent="0.25">
      <c r="A80" s="20">
        <v>79</v>
      </c>
      <c r="B80" s="20" t="s">
        <v>354</v>
      </c>
      <c r="C80" s="20" t="s">
        <v>2</v>
      </c>
      <c r="D80" s="20">
        <v>2013</v>
      </c>
      <c r="E80" s="20" t="s">
        <v>47</v>
      </c>
      <c r="F80" s="20" t="s">
        <v>144</v>
      </c>
      <c r="G80" s="95" t="s">
        <v>31</v>
      </c>
      <c r="H80" s="20" t="s">
        <v>17</v>
      </c>
      <c r="I80" s="20" t="s">
        <v>18</v>
      </c>
      <c r="J80" s="20" t="s">
        <v>9</v>
      </c>
      <c r="K80" s="20" t="s">
        <v>28</v>
      </c>
      <c r="L80" s="20" t="s">
        <v>140</v>
      </c>
      <c r="M80" s="20" t="s">
        <v>20</v>
      </c>
      <c r="N80" s="20" t="s">
        <v>9</v>
      </c>
      <c r="O80" s="20" t="s">
        <v>21</v>
      </c>
      <c r="P80" s="20" t="s">
        <v>624</v>
      </c>
      <c r="Q80" s="20" t="s">
        <v>587</v>
      </c>
      <c r="R80" s="20" t="s">
        <v>604</v>
      </c>
      <c r="S80" s="88" t="s">
        <v>22</v>
      </c>
      <c r="T80" s="88" t="s">
        <v>22</v>
      </c>
      <c r="U80" s="3"/>
      <c r="V80" s="3"/>
      <c r="W80" s="3"/>
      <c r="X80" s="3"/>
      <c r="Y80" s="3"/>
      <c r="Z80" s="3"/>
      <c r="AA80" s="3"/>
    </row>
    <row r="81" spans="1:27" x14ac:dyDescent="0.25">
      <c r="A81" s="20">
        <v>80</v>
      </c>
      <c r="B81" s="20" t="s">
        <v>374</v>
      </c>
      <c r="C81" s="20" t="s">
        <v>2</v>
      </c>
      <c r="D81" s="20">
        <v>2015</v>
      </c>
      <c r="E81" s="20" t="s">
        <v>43</v>
      </c>
      <c r="F81" s="20" t="s">
        <v>5</v>
      </c>
      <c r="G81" s="95" t="s">
        <v>14</v>
      </c>
      <c r="H81" s="20" t="s">
        <v>30</v>
      </c>
      <c r="I81" s="20" t="s">
        <v>8</v>
      </c>
      <c r="J81" s="20" t="s">
        <v>9</v>
      </c>
      <c r="K81" s="20" t="s">
        <v>27</v>
      </c>
      <c r="L81" s="20" t="s">
        <v>139</v>
      </c>
      <c r="M81" s="20" t="s">
        <v>10</v>
      </c>
      <c r="N81" s="20" t="s">
        <v>9</v>
      </c>
      <c r="O81" s="20" t="s">
        <v>9</v>
      </c>
      <c r="P81" s="20" t="s">
        <v>11</v>
      </c>
      <c r="Q81" s="20" t="s">
        <v>587</v>
      </c>
      <c r="R81" s="20" t="s">
        <v>604</v>
      </c>
      <c r="S81" s="72" t="s">
        <v>683</v>
      </c>
      <c r="T81" s="74" t="s">
        <v>687</v>
      </c>
      <c r="U81" s="3"/>
      <c r="V81" s="3"/>
      <c r="W81" s="3"/>
      <c r="X81" s="3"/>
      <c r="Y81" s="3"/>
      <c r="Z81" s="3"/>
      <c r="AA81" s="3"/>
    </row>
    <row r="82" spans="1:27" x14ac:dyDescent="0.25">
      <c r="A82" s="20">
        <v>81</v>
      </c>
      <c r="B82" s="20" t="s">
        <v>353</v>
      </c>
      <c r="C82" s="20" t="s">
        <v>2</v>
      </c>
      <c r="D82" s="20">
        <v>2017</v>
      </c>
      <c r="E82" s="20" t="s">
        <v>45</v>
      </c>
      <c r="F82" s="20" t="s">
        <v>5</v>
      </c>
      <c r="G82" s="95" t="s">
        <v>14</v>
      </c>
      <c r="H82" s="20" t="s">
        <v>30</v>
      </c>
      <c r="I82" s="20" t="s">
        <v>15</v>
      </c>
      <c r="J82" s="20" t="s">
        <v>9</v>
      </c>
      <c r="K82" s="20" t="s">
        <v>27</v>
      </c>
      <c r="L82" s="20" t="s">
        <v>140</v>
      </c>
      <c r="M82" s="20" t="s">
        <v>19</v>
      </c>
      <c r="N82" s="20" t="s">
        <v>9</v>
      </c>
      <c r="O82" s="20" t="s">
        <v>9</v>
      </c>
      <c r="P82" s="20" t="s">
        <v>16</v>
      </c>
      <c r="Q82" s="20" t="s">
        <v>587</v>
      </c>
      <c r="R82" s="20" t="s">
        <v>606</v>
      </c>
      <c r="S82" s="69"/>
      <c r="T82" s="69"/>
      <c r="U82" s="3"/>
      <c r="V82" s="3"/>
      <c r="W82" s="3"/>
      <c r="X82" s="3"/>
      <c r="Y82" s="3"/>
      <c r="Z82" s="3"/>
      <c r="AA82" s="3"/>
    </row>
    <row r="83" spans="1:27" x14ac:dyDescent="0.25">
      <c r="A83" s="20">
        <v>82</v>
      </c>
      <c r="B83" s="20" t="s">
        <v>375</v>
      </c>
      <c r="C83" s="20" t="s">
        <v>2</v>
      </c>
      <c r="D83" s="20">
        <v>2017</v>
      </c>
      <c r="E83" s="20" t="s">
        <v>46</v>
      </c>
      <c r="F83" s="20" t="s">
        <v>5</v>
      </c>
      <c r="G83" s="95" t="s">
        <v>14</v>
      </c>
      <c r="H83" s="20" t="s">
        <v>30</v>
      </c>
      <c r="I83" s="20" t="s">
        <v>8</v>
      </c>
      <c r="J83" s="20" t="s">
        <v>9</v>
      </c>
      <c r="K83" s="20" t="s">
        <v>27</v>
      </c>
      <c r="L83" s="20" t="s">
        <v>140</v>
      </c>
      <c r="M83" s="20" t="s">
        <v>19</v>
      </c>
      <c r="N83" s="20" t="s">
        <v>9</v>
      </c>
      <c r="O83" s="20" t="s">
        <v>9</v>
      </c>
      <c r="P83" s="20" t="s">
        <v>11</v>
      </c>
      <c r="Q83" s="20" t="s">
        <v>587</v>
      </c>
      <c r="R83" s="20" t="s">
        <v>655</v>
      </c>
      <c r="S83" s="72" t="s">
        <v>683</v>
      </c>
      <c r="T83" s="74" t="s">
        <v>687</v>
      </c>
      <c r="U83" s="3"/>
      <c r="V83" s="3"/>
      <c r="W83" s="3"/>
      <c r="X83" s="3"/>
      <c r="Y83" s="3"/>
      <c r="Z83" s="3"/>
      <c r="AA83" s="3"/>
    </row>
    <row r="84" spans="1:27" x14ac:dyDescent="0.25">
      <c r="A84" s="99">
        <v>83</v>
      </c>
      <c r="B84" s="28" t="s">
        <v>479</v>
      </c>
      <c r="C84" s="28" t="s">
        <v>227</v>
      </c>
      <c r="D84" s="28">
        <v>1999</v>
      </c>
      <c r="E84" s="28" t="s">
        <v>299</v>
      </c>
      <c r="F84" s="28" t="s">
        <v>228</v>
      </c>
      <c r="G84" s="100" t="s">
        <v>229</v>
      </c>
      <c r="H84" s="28" t="s">
        <v>230</v>
      </c>
      <c r="I84" s="28" t="s">
        <v>79</v>
      </c>
      <c r="J84" s="28" t="s">
        <v>59</v>
      </c>
      <c r="K84" s="28" t="s">
        <v>231</v>
      </c>
      <c r="L84" s="28" t="s">
        <v>139</v>
      </c>
      <c r="M84" s="28" t="s">
        <v>29</v>
      </c>
      <c r="N84" s="28" t="s">
        <v>21</v>
      </c>
      <c r="O84" s="28" t="s">
        <v>21</v>
      </c>
      <c r="P84" s="28" t="s">
        <v>233</v>
      </c>
      <c r="Q84" s="28" t="s">
        <v>585</v>
      </c>
      <c r="R84" s="28" t="s">
        <v>617</v>
      </c>
      <c r="S84" s="69"/>
      <c r="T84" s="69"/>
      <c r="U84" s="3"/>
      <c r="V84" s="3"/>
      <c r="W84" s="3"/>
      <c r="X84" s="3"/>
      <c r="Y84" s="3"/>
      <c r="Z84" s="3"/>
      <c r="AA84" s="3"/>
    </row>
    <row r="85" spans="1:27" x14ac:dyDescent="0.25">
      <c r="A85" s="99">
        <v>84</v>
      </c>
      <c r="B85" s="28" t="s">
        <v>370</v>
      </c>
      <c r="C85" s="28" t="s">
        <v>227</v>
      </c>
      <c r="D85" s="28">
        <v>2006</v>
      </c>
      <c r="E85" s="28" t="s">
        <v>98</v>
      </c>
      <c r="F85" s="28" t="s">
        <v>228</v>
      </c>
      <c r="G85" s="100" t="s">
        <v>229</v>
      </c>
      <c r="H85" s="28" t="s">
        <v>230</v>
      </c>
      <c r="I85" s="28" t="s">
        <v>79</v>
      </c>
      <c r="J85" s="28" t="s">
        <v>59</v>
      </c>
      <c r="K85" s="28" t="s">
        <v>231</v>
      </c>
      <c r="L85" s="28" t="s">
        <v>139</v>
      </c>
      <c r="M85" s="28" t="s">
        <v>136</v>
      </c>
      <c r="N85" s="28" t="s">
        <v>21</v>
      </c>
      <c r="O85" s="28" t="s">
        <v>21</v>
      </c>
      <c r="P85" s="28" t="s">
        <v>233</v>
      </c>
      <c r="Q85" s="28" t="s">
        <v>585</v>
      </c>
      <c r="R85" s="28" t="s">
        <v>626</v>
      </c>
      <c r="S85" s="69"/>
      <c r="T85" s="69"/>
      <c r="U85" s="3"/>
      <c r="V85" s="3"/>
      <c r="W85" s="3"/>
      <c r="X85" s="3"/>
      <c r="Y85" s="3"/>
      <c r="Z85" s="3"/>
      <c r="AA85" s="3"/>
    </row>
    <row r="86" spans="1:27" x14ac:dyDescent="0.25">
      <c r="A86" s="20">
        <v>85</v>
      </c>
      <c r="B86" s="20" t="s">
        <v>372</v>
      </c>
      <c r="C86" s="20" t="s">
        <v>177</v>
      </c>
      <c r="D86" s="20">
        <v>2011</v>
      </c>
      <c r="E86" s="20" t="s">
        <v>101</v>
      </c>
      <c r="F86" s="20" t="s">
        <v>178</v>
      </c>
      <c r="G86" s="95" t="s">
        <v>179</v>
      </c>
      <c r="H86" s="20" t="s">
        <v>74</v>
      </c>
      <c r="I86" s="20" t="s">
        <v>8</v>
      </c>
      <c r="J86" s="20" t="s">
        <v>21</v>
      </c>
      <c r="K86" s="20" t="s">
        <v>78</v>
      </c>
      <c r="L86" s="20" t="s">
        <v>139</v>
      </c>
      <c r="M86" s="20" t="s">
        <v>53</v>
      </c>
      <c r="N86" s="20" t="s">
        <v>9</v>
      </c>
      <c r="O86" s="20" t="s">
        <v>21</v>
      </c>
      <c r="P86" s="20" t="s">
        <v>157</v>
      </c>
      <c r="Q86" s="20" t="s">
        <v>587</v>
      </c>
      <c r="R86" s="20" t="s">
        <v>727</v>
      </c>
      <c r="S86" s="74" t="s">
        <v>686</v>
      </c>
      <c r="T86" s="88" t="s">
        <v>22</v>
      </c>
      <c r="U86" s="3"/>
      <c r="V86" s="3"/>
      <c r="W86" s="3"/>
      <c r="X86" s="3"/>
      <c r="Y86" s="3"/>
      <c r="Z86" s="3"/>
      <c r="AA86" s="3"/>
    </row>
    <row r="87" spans="1:27" x14ac:dyDescent="0.25">
      <c r="A87" s="20">
        <v>86</v>
      </c>
      <c r="B87" s="20" t="s">
        <v>371</v>
      </c>
      <c r="C87" s="20" t="s">
        <v>308</v>
      </c>
      <c r="D87" s="20">
        <v>2001</v>
      </c>
      <c r="E87" s="20" t="s">
        <v>76</v>
      </c>
      <c r="F87" s="20" t="s">
        <v>309</v>
      </c>
      <c r="G87" s="95" t="s">
        <v>310</v>
      </c>
      <c r="H87" s="20" t="s">
        <v>180</v>
      </c>
      <c r="I87" s="20" t="s">
        <v>129</v>
      </c>
      <c r="J87" s="20" t="s">
        <v>9</v>
      </c>
      <c r="K87" s="20" t="s">
        <v>27</v>
      </c>
      <c r="L87" s="20" t="s">
        <v>140</v>
      </c>
      <c r="M87" s="20" t="s">
        <v>29</v>
      </c>
      <c r="N87" s="20" t="s">
        <v>21</v>
      </c>
      <c r="O87" s="20" t="s">
        <v>21</v>
      </c>
      <c r="P87" s="20" t="s">
        <v>628</v>
      </c>
      <c r="Q87" s="20" t="s">
        <v>587</v>
      </c>
      <c r="R87" s="20" t="s">
        <v>627</v>
      </c>
      <c r="S87" s="69" t="s">
        <v>22</v>
      </c>
      <c r="T87" s="69" t="s">
        <v>709</v>
      </c>
      <c r="U87" s="3"/>
      <c r="V87" s="3"/>
      <c r="W87" s="3"/>
      <c r="X87" s="3"/>
      <c r="Y87" s="3"/>
      <c r="Z87" s="3"/>
      <c r="AA87" s="3"/>
    </row>
    <row r="88" spans="1:27" x14ac:dyDescent="0.25">
      <c r="A88" s="20">
        <v>87</v>
      </c>
      <c r="B88" s="25" t="s">
        <v>500</v>
      </c>
      <c r="C88" s="20" t="s">
        <v>501</v>
      </c>
      <c r="D88" s="20">
        <v>2008</v>
      </c>
      <c r="E88" s="20" t="s">
        <v>259</v>
      </c>
      <c r="F88" s="20" t="s">
        <v>502</v>
      </c>
      <c r="G88" s="95" t="s">
        <v>503</v>
      </c>
      <c r="H88" s="20" t="s">
        <v>17</v>
      </c>
      <c r="I88" s="20" t="s">
        <v>85</v>
      </c>
      <c r="J88" s="20" t="s">
        <v>59</v>
      </c>
      <c r="K88" s="20" t="s">
        <v>28</v>
      </c>
      <c r="L88" s="20" t="s">
        <v>140</v>
      </c>
      <c r="M88" s="20" t="s">
        <v>29</v>
      </c>
      <c r="N88" s="20" t="s">
        <v>21</v>
      </c>
      <c r="O88" s="20" t="s">
        <v>21</v>
      </c>
      <c r="P88" s="20" t="s">
        <v>629</v>
      </c>
      <c r="Q88" s="20" t="s">
        <v>587</v>
      </c>
      <c r="R88" s="20" t="s">
        <v>667</v>
      </c>
      <c r="S88" s="89" t="s">
        <v>688</v>
      </c>
      <c r="T88" s="86" t="s">
        <v>714</v>
      </c>
      <c r="U88" s="3"/>
      <c r="V88" s="3"/>
      <c r="W88" s="3"/>
      <c r="X88" s="3"/>
      <c r="Y88" s="3"/>
      <c r="Z88" s="3"/>
      <c r="AA88" s="3"/>
    </row>
    <row r="89" spans="1:27" x14ac:dyDescent="0.25">
      <c r="A89" s="20">
        <v>88</v>
      </c>
      <c r="B89" s="20" t="s">
        <v>417</v>
      </c>
      <c r="C89" s="20" t="s">
        <v>103</v>
      </c>
      <c r="D89" s="20">
        <v>2003</v>
      </c>
      <c r="E89" s="20" t="s">
        <v>104</v>
      </c>
      <c r="F89" s="20" t="s">
        <v>105</v>
      </c>
      <c r="G89" s="95" t="s">
        <v>106</v>
      </c>
      <c r="H89" s="20" t="s">
        <v>74</v>
      </c>
      <c r="I89" s="20" t="s">
        <v>128</v>
      </c>
      <c r="J89" s="20" t="s">
        <v>21</v>
      </c>
      <c r="K89" s="20" t="s">
        <v>78</v>
      </c>
      <c r="L89" s="20" t="s">
        <v>140</v>
      </c>
      <c r="M89" s="20" t="s">
        <v>20</v>
      </c>
      <c r="N89" s="20" t="s">
        <v>9</v>
      </c>
      <c r="O89" s="20" t="s">
        <v>21</v>
      </c>
      <c r="P89" s="20" t="s">
        <v>630</v>
      </c>
      <c r="Q89" s="20" t="s">
        <v>587</v>
      </c>
      <c r="R89" s="20" t="s">
        <v>740</v>
      </c>
      <c r="S89" s="69"/>
      <c r="T89" s="69"/>
      <c r="U89" s="3"/>
      <c r="V89" s="3"/>
      <c r="W89" s="3"/>
      <c r="X89" s="3"/>
      <c r="Y89" s="3"/>
      <c r="Z89" s="3"/>
      <c r="AA89" s="3"/>
    </row>
    <row r="90" spans="1:27" x14ac:dyDescent="0.25">
      <c r="A90" s="20">
        <v>89</v>
      </c>
      <c r="B90" s="20" t="s">
        <v>532</v>
      </c>
      <c r="C90" s="20" t="s">
        <v>257</v>
      </c>
      <c r="D90" s="20">
        <v>2009</v>
      </c>
      <c r="E90" s="20" t="s">
        <v>318</v>
      </c>
      <c r="F90" s="20" t="s">
        <v>223</v>
      </c>
      <c r="G90" s="95" t="s">
        <v>224</v>
      </c>
      <c r="H90" s="20" t="s">
        <v>17</v>
      </c>
      <c r="I90" s="20" t="s">
        <v>15</v>
      </c>
      <c r="J90" s="20" t="s">
        <v>59</v>
      </c>
      <c r="K90" s="20" t="s">
        <v>28</v>
      </c>
      <c r="L90" s="20" t="s">
        <v>139</v>
      </c>
      <c r="M90" s="20" t="s">
        <v>29</v>
      </c>
      <c r="N90" s="20" t="s">
        <v>21</v>
      </c>
      <c r="O90" s="20" t="s">
        <v>21</v>
      </c>
      <c r="P90" s="20" t="s">
        <v>631</v>
      </c>
      <c r="Q90" s="20" t="s">
        <v>587</v>
      </c>
      <c r="R90" s="20" t="s">
        <v>710</v>
      </c>
      <c r="S90" s="69" t="s">
        <v>22</v>
      </c>
      <c r="T90" s="69" t="s">
        <v>623</v>
      </c>
      <c r="U90" s="3"/>
      <c r="V90" s="3"/>
      <c r="W90" s="3"/>
      <c r="X90" s="3"/>
      <c r="Y90" s="3"/>
      <c r="Z90" s="3"/>
      <c r="AA90" s="3"/>
    </row>
    <row r="91" spans="1:27" x14ac:dyDescent="0.25">
      <c r="A91" s="20">
        <v>90</v>
      </c>
      <c r="B91" s="25" t="s">
        <v>558</v>
      </c>
      <c r="C91" s="20" t="s">
        <v>559</v>
      </c>
      <c r="D91" s="20">
        <v>2011</v>
      </c>
      <c r="E91" s="20" t="s">
        <v>560</v>
      </c>
      <c r="F91" s="20" t="s">
        <v>561</v>
      </c>
      <c r="G91" s="95" t="s">
        <v>562</v>
      </c>
      <c r="H91" s="20" t="s">
        <v>74</v>
      </c>
      <c r="I91" s="20" t="s">
        <v>563</v>
      </c>
      <c r="J91" s="20" t="s">
        <v>21</v>
      </c>
      <c r="K91" s="20" t="s">
        <v>28</v>
      </c>
      <c r="L91" s="20" t="s">
        <v>140</v>
      </c>
      <c r="M91" s="20" t="s">
        <v>20</v>
      </c>
      <c r="N91" s="20" t="s">
        <v>9</v>
      </c>
      <c r="O91" s="20" t="s">
        <v>21</v>
      </c>
      <c r="P91" s="20" t="s">
        <v>157</v>
      </c>
      <c r="Q91" s="20" t="s">
        <v>587</v>
      </c>
      <c r="R91" s="20" t="s">
        <v>606</v>
      </c>
      <c r="S91" s="73"/>
      <c r="T91" s="73"/>
      <c r="U91" s="3"/>
      <c r="V91" s="3"/>
      <c r="W91" s="3"/>
      <c r="X91" s="3"/>
      <c r="Y91" s="3"/>
      <c r="Z91" s="3"/>
      <c r="AA91" s="3"/>
    </row>
    <row r="92" spans="1:27" x14ac:dyDescent="0.25">
      <c r="A92" s="20">
        <v>91</v>
      </c>
      <c r="B92" s="20" t="s">
        <v>418</v>
      </c>
      <c r="C92" s="20" t="s">
        <v>312</v>
      </c>
      <c r="D92" s="20">
        <v>2016</v>
      </c>
      <c r="E92" s="20" t="s">
        <v>299</v>
      </c>
      <c r="F92" s="20" t="s">
        <v>313</v>
      </c>
      <c r="G92" s="95" t="s">
        <v>314</v>
      </c>
      <c r="H92" s="20" t="s">
        <v>17</v>
      </c>
      <c r="I92" s="20" t="s">
        <v>128</v>
      </c>
      <c r="J92" s="20" t="s">
        <v>21</v>
      </c>
      <c r="K92" s="20" t="s">
        <v>28</v>
      </c>
      <c r="L92" s="20" t="s">
        <v>140</v>
      </c>
      <c r="M92" s="20" t="s">
        <v>53</v>
      </c>
      <c r="N92" s="20" t="s">
        <v>9</v>
      </c>
      <c r="O92" s="20" t="s">
        <v>21</v>
      </c>
      <c r="P92" s="20" t="s">
        <v>734</v>
      </c>
      <c r="Q92" s="20" t="s">
        <v>587</v>
      </c>
      <c r="R92" s="20" t="s">
        <v>661</v>
      </c>
      <c r="S92" s="69" t="s">
        <v>22</v>
      </c>
      <c r="T92" s="69" t="s">
        <v>697</v>
      </c>
      <c r="U92" s="3"/>
      <c r="V92" s="3"/>
      <c r="W92" s="3"/>
      <c r="X92" s="3"/>
      <c r="Y92" s="3"/>
      <c r="Z92" s="3"/>
      <c r="AA92" s="3"/>
    </row>
    <row r="93" spans="1:27" x14ac:dyDescent="0.25">
      <c r="A93" s="99">
        <v>92</v>
      </c>
      <c r="B93" s="28" t="s">
        <v>419</v>
      </c>
      <c r="C93" s="28" t="s">
        <v>207</v>
      </c>
      <c r="D93" s="28">
        <v>2017</v>
      </c>
      <c r="E93" s="28" t="s">
        <v>76</v>
      </c>
      <c r="F93" s="28" t="s">
        <v>225</v>
      </c>
      <c r="G93" s="100" t="s">
        <v>226</v>
      </c>
      <c r="H93" s="28" t="s">
        <v>17</v>
      </c>
      <c r="I93" s="28" t="s">
        <v>232</v>
      </c>
      <c r="J93" s="28" t="s">
        <v>59</v>
      </c>
      <c r="K93" s="28" t="s">
        <v>231</v>
      </c>
      <c r="L93" s="28" t="s">
        <v>140</v>
      </c>
      <c r="M93" s="28" t="s">
        <v>20</v>
      </c>
      <c r="N93" s="28" t="s">
        <v>9</v>
      </c>
      <c r="O93" s="28" t="s">
        <v>21</v>
      </c>
      <c r="P93" s="28" t="s">
        <v>233</v>
      </c>
      <c r="Q93" s="28" t="s">
        <v>585</v>
      </c>
      <c r="R93" s="28" t="s">
        <v>632</v>
      </c>
      <c r="S93" s="69"/>
      <c r="T93" s="69"/>
      <c r="U93" s="3"/>
      <c r="V93" s="3"/>
      <c r="W93" s="3"/>
      <c r="X93" s="3"/>
      <c r="Y93" s="3"/>
      <c r="Z93" s="3"/>
      <c r="AA93" s="3"/>
    </row>
    <row r="94" spans="1:27" x14ac:dyDescent="0.25">
      <c r="A94" s="20">
        <v>93</v>
      </c>
      <c r="B94" s="20" t="s">
        <v>420</v>
      </c>
      <c r="C94" s="20" t="s">
        <v>94</v>
      </c>
      <c r="D94" s="20">
        <v>1999</v>
      </c>
      <c r="E94" s="20" t="s">
        <v>46</v>
      </c>
      <c r="F94" s="20" t="s">
        <v>131</v>
      </c>
      <c r="G94" s="95" t="s">
        <v>149</v>
      </c>
      <c r="H94" s="20" t="s">
        <v>30</v>
      </c>
      <c r="I94" s="20" t="s">
        <v>150</v>
      </c>
      <c r="J94" s="20" t="s">
        <v>9</v>
      </c>
      <c r="K94" s="20" t="s">
        <v>27</v>
      </c>
      <c r="L94" s="20" t="s">
        <v>140</v>
      </c>
      <c r="M94" s="20" t="s">
        <v>29</v>
      </c>
      <c r="N94" s="20" t="s">
        <v>21</v>
      </c>
      <c r="O94" s="20" t="s">
        <v>21</v>
      </c>
      <c r="P94" s="20" t="s">
        <v>95</v>
      </c>
      <c r="Q94" s="20" t="s">
        <v>587</v>
      </c>
      <c r="R94" s="20" t="s">
        <v>715</v>
      </c>
      <c r="S94" s="72" t="s">
        <v>683</v>
      </c>
      <c r="T94" s="88" t="s">
        <v>22</v>
      </c>
      <c r="U94" s="3"/>
      <c r="V94" s="3"/>
      <c r="W94" s="3"/>
      <c r="X94" s="3"/>
      <c r="Y94" s="3"/>
      <c r="Z94" s="3"/>
      <c r="AA94" s="3"/>
    </row>
    <row r="95" spans="1:27" x14ac:dyDescent="0.25">
      <c r="A95" s="20">
        <v>94</v>
      </c>
      <c r="B95" s="20" t="s">
        <v>433</v>
      </c>
      <c r="C95" s="20" t="s">
        <v>75</v>
      </c>
      <c r="D95" s="20">
        <v>2012</v>
      </c>
      <c r="E95" s="20" t="s">
        <v>76</v>
      </c>
      <c r="F95" s="20" t="s">
        <v>220</v>
      </c>
      <c r="G95" s="95" t="s">
        <v>77</v>
      </c>
      <c r="H95" s="20" t="s">
        <v>17</v>
      </c>
      <c r="I95" s="20" t="s">
        <v>79</v>
      </c>
      <c r="J95" s="20" t="s">
        <v>21</v>
      </c>
      <c r="K95" s="20" t="s">
        <v>78</v>
      </c>
      <c r="L95" s="20" t="s">
        <v>140</v>
      </c>
      <c r="M95" s="20" t="s">
        <v>53</v>
      </c>
      <c r="N95" s="20" t="s">
        <v>9</v>
      </c>
      <c r="O95" s="20" t="s">
        <v>21</v>
      </c>
      <c r="P95" s="20" t="s">
        <v>80</v>
      </c>
      <c r="Q95" s="20" t="s">
        <v>587</v>
      </c>
      <c r="R95" s="20" t="s">
        <v>633</v>
      </c>
      <c r="S95" s="69"/>
      <c r="T95" s="69"/>
      <c r="U95" s="3"/>
      <c r="V95" s="3"/>
      <c r="W95" s="3"/>
      <c r="X95" s="3"/>
      <c r="Y95" s="3"/>
      <c r="Z95" s="3"/>
      <c r="AA95" s="3"/>
    </row>
    <row r="96" spans="1:27" x14ac:dyDescent="0.25">
      <c r="A96" s="20">
        <v>95</v>
      </c>
      <c r="B96" s="20" t="s">
        <v>421</v>
      </c>
      <c r="C96" s="20" t="s">
        <v>175</v>
      </c>
      <c r="D96" s="20">
        <v>2001</v>
      </c>
      <c r="E96" s="20" t="s">
        <v>76</v>
      </c>
      <c r="F96" s="20" t="s">
        <v>336</v>
      </c>
      <c r="G96" s="95" t="s">
        <v>176</v>
      </c>
      <c r="H96" s="20" t="s">
        <v>112</v>
      </c>
      <c r="I96" s="20" t="s">
        <v>250</v>
      </c>
      <c r="J96" s="20" t="s">
        <v>21</v>
      </c>
      <c r="K96" s="20" t="s">
        <v>27</v>
      </c>
      <c r="L96" s="20" t="s">
        <v>139</v>
      </c>
      <c r="M96" s="20" t="s">
        <v>136</v>
      </c>
      <c r="N96" s="20" t="s">
        <v>21</v>
      </c>
      <c r="O96" s="20" t="s">
        <v>21</v>
      </c>
      <c r="P96" s="20" t="s">
        <v>22</v>
      </c>
      <c r="Q96" s="20" t="s">
        <v>587</v>
      </c>
      <c r="R96" s="20" t="s">
        <v>636</v>
      </c>
      <c r="S96" s="69"/>
      <c r="T96" s="69"/>
      <c r="U96" s="3"/>
      <c r="V96" s="3"/>
      <c r="W96" s="3"/>
      <c r="X96" s="3"/>
      <c r="Y96" s="3"/>
      <c r="Z96" s="3"/>
      <c r="AA96" s="3"/>
    </row>
    <row r="97" spans="1:27" x14ac:dyDescent="0.25">
      <c r="A97" s="20">
        <v>96</v>
      </c>
      <c r="B97" s="20" t="s">
        <v>369</v>
      </c>
      <c r="C97" s="20" t="s">
        <v>97</v>
      </c>
      <c r="D97" s="20">
        <v>2006</v>
      </c>
      <c r="E97" s="20" t="s">
        <v>101</v>
      </c>
      <c r="F97" s="20" t="s">
        <v>99</v>
      </c>
      <c r="G97" s="95" t="s">
        <v>100</v>
      </c>
      <c r="H97" s="20" t="s">
        <v>74</v>
      </c>
      <c r="I97" s="20" t="s">
        <v>79</v>
      </c>
      <c r="J97" s="20" t="s">
        <v>21</v>
      </c>
      <c r="K97" s="20" t="s">
        <v>28</v>
      </c>
      <c r="L97" s="20" t="s">
        <v>140</v>
      </c>
      <c r="M97" s="20" t="s">
        <v>20</v>
      </c>
      <c r="N97" s="20" t="s">
        <v>9</v>
      </c>
      <c r="O97" s="20" t="s">
        <v>21</v>
      </c>
      <c r="P97" s="20" t="s">
        <v>95</v>
      </c>
      <c r="Q97" s="20" t="s">
        <v>587</v>
      </c>
      <c r="R97" s="20" t="s">
        <v>635</v>
      </c>
      <c r="S97" s="72" t="s">
        <v>683</v>
      </c>
      <c r="T97" s="88" t="s">
        <v>22</v>
      </c>
      <c r="U97" s="3"/>
      <c r="V97" s="3"/>
      <c r="W97" s="3"/>
      <c r="X97" s="3"/>
      <c r="Y97" s="3"/>
      <c r="Z97" s="3"/>
      <c r="AA97" s="3"/>
    </row>
    <row r="98" spans="1:27" x14ac:dyDescent="0.25">
      <c r="A98" s="20">
        <v>97</v>
      </c>
      <c r="B98" s="20" t="s">
        <v>368</v>
      </c>
      <c r="C98" s="20" t="s">
        <v>97</v>
      </c>
      <c r="D98" s="20">
        <v>2010</v>
      </c>
      <c r="E98" s="20" t="s">
        <v>98</v>
      </c>
      <c r="F98" s="20" t="s">
        <v>99</v>
      </c>
      <c r="G98" s="95" t="s">
        <v>100</v>
      </c>
      <c r="H98" s="20" t="s">
        <v>74</v>
      </c>
      <c r="I98" s="20" t="s">
        <v>79</v>
      </c>
      <c r="J98" s="20" t="s">
        <v>21</v>
      </c>
      <c r="K98" s="20" t="s">
        <v>28</v>
      </c>
      <c r="L98" s="20" t="s">
        <v>140</v>
      </c>
      <c r="M98" s="20" t="s">
        <v>20</v>
      </c>
      <c r="N98" s="20" t="s">
        <v>9</v>
      </c>
      <c r="O98" s="20" t="s">
        <v>21</v>
      </c>
      <c r="P98" s="20" t="s">
        <v>95</v>
      </c>
      <c r="Q98" s="20" t="s">
        <v>587</v>
      </c>
      <c r="R98" s="20" t="s">
        <v>744</v>
      </c>
      <c r="S98" s="72" t="s">
        <v>683</v>
      </c>
      <c r="T98" s="88" t="s">
        <v>22</v>
      </c>
      <c r="U98" s="3"/>
      <c r="V98" s="3"/>
      <c r="W98" s="3"/>
      <c r="X98" s="3"/>
      <c r="Y98" s="3"/>
      <c r="Z98" s="3"/>
      <c r="AA98" s="3"/>
    </row>
    <row r="99" spans="1:27" x14ac:dyDescent="0.25">
      <c r="A99" s="20">
        <v>98</v>
      </c>
      <c r="B99" s="20" t="s">
        <v>422</v>
      </c>
      <c r="C99" s="20" t="s">
        <v>217</v>
      </c>
      <c r="D99" s="20">
        <v>2004</v>
      </c>
      <c r="E99" s="20" t="s">
        <v>212</v>
      </c>
      <c r="F99" s="20" t="s">
        <v>218</v>
      </c>
      <c r="G99" s="95" t="s">
        <v>213</v>
      </c>
      <c r="H99" s="20" t="s">
        <v>74</v>
      </c>
      <c r="I99" s="20" t="s">
        <v>214</v>
      </c>
      <c r="J99" s="20" t="s">
        <v>21</v>
      </c>
      <c r="K99" s="20" t="s">
        <v>78</v>
      </c>
      <c r="L99" s="20" t="s">
        <v>140</v>
      </c>
      <c r="M99" s="20" t="s">
        <v>136</v>
      </c>
      <c r="N99" s="20" t="s">
        <v>21</v>
      </c>
      <c r="O99" s="20" t="s">
        <v>21</v>
      </c>
      <c r="P99" s="20" t="s">
        <v>127</v>
      </c>
      <c r="Q99" s="20" t="s">
        <v>587</v>
      </c>
      <c r="R99" s="20" t="s">
        <v>621</v>
      </c>
      <c r="S99" s="72" t="s">
        <v>127</v>
      </c>
      <c r="T99" s="88" t="s">
        <v>22</v>
      </c>
      <c r="U99" s="3"/>
      <c r="V99" s="3"/>
      <c r="W99" s="3"/>
      <c r="X99" s="3"/>
      <c r="Y99" s="3"/>
      <c r="Z99" s="3"/>
      <c r="AA99" s="3"/>
    </row>
    <row r="100" spans="1:27" x14ac:dyDescent="0.25">
      <c r="A100" s="20">
        <v>99</v>
      </c>
      <c r="B100" s="20" t="s">
        <v>423</v>
      </c>
      <c r="C100" s="20" t="s">
        <v>262</v>
      </c>
      <c r="D100" s="20">
        <v>2011</v>
      </c>
      <c r="E100" s="20" t="s">
        <v>187</v>
      </c>
      <c r="F100" s="20" t="s">
        <v>263</v>
      </c>
      <c r="G100" s="95" t="s">
        <v>264</v>
      </c>
      <c r="H100" s="20" t="s">
        <v>74</v>
      </c>
      <c r="I100" s="20" t="s">
        <v>128</v>
      </c>
      <c r="J100" s="20" t="s">
        <v>21</v>
      </c>
      <c r="K100" s="20" t="s">
        <v>78</v>
      </c>
      <c r="L100" s="20" t="s">
        <v>140</v>
      </c>
      <c r="M100" s="20" t="s">
        <v>20</v>
      </c>
      <c r="N100" s="20" t="s">
        <v>9</v>
      </c>
      <c r="O100" s="20" t="s">
        <v>21</v>
      </c>
      <c r="P100" s="20" t="s">
        <v>22</v>
      </c>
      <c r="Q100" s="20" t="s">
        <v>587</v>
      </c>
      <c r="R100" s="20" t="s">
        <v>681</v>
      </c>
      <c r="S100" s="69" t="s">
        <v>22</v>
      </c>
      <c r="T100" s="69" t="s">
        <v>22</v>
      </c>
      <c r="U100" s="3"/>
      <c r="V100" s="3"/>
      <c r="W100" s="3"/>
      <c r="X100" s="3"/>
      <c r="Y100" s="3"/>
      <c r="Z100" s="3"/>
      <c r="AA100" s="3"/>
    </row>
    <row r="101" spans="1:27" x14ac:dyDescent="0.25">
      <c r="A101" s="24">
        <v>100</v>
      </c>
      <c r="B101" s="24" t="s">
        <v>424</v>
      </c>
      <c r="C101" s="24" t="s">
        <v>298</v>
      </c>
      <c r="D101" s="24">
        <v>2005</v>
      </c>
      <c r="E101" s="24" t="s">
        <v>299</v>
      </c>
      <c r="F101" s="24" t="s">
        <v>287</v>
      </c>
      <c r="G101" s="96" t="s">
        <v>288</v>
      </c>
      <c r="H101" s="24" t="s">
        <v>17</v>
      </c>
      <c r="I101" s="24" t="s">
        <v>250</v>
      </c>
      <c r="J101" s="24" t="s">
        <v>59</v>
      </c>
      <c r="K101" s="24" t="s">
        <v>28</v>
      </c>
      <c r="L101" s="24" t="s">
        <v>140</v>
      </c>
      <c r="M101" s="24" t="s">
        <v>20</v>
      </c>
      <c r="N101" s="24" t="s">
        <v>9</v>
      </c>
      <c r="O101" s="24" t="s">
        <v>21</v>
      </c>
      <c r="P101" s="24" t="s">
        <v>316</v>
      </c>
      <c r="Q101" s="24" t="s">
        <v>192</v>
      </c>
      <c r="R101" s="24" t="s">
        <v>605</v>
      </c>
      <c r="S101" s="69"/>
      <c r="T101" s="69"/>
      <c r="U101" s="3"/>
      <c r="V101" s="3"/>
      <c r="W101" s="3"/>
      <c r="X101" s="3"/>
      <c r="Y101" s="3"/>
      <c r="Z101" s="3"/>
      <c r="AA101" s="3"/>
    </row>
    <row r="102" spans="1:27" x14ac:dyDescent="0.25">
      <c r="A102" s="20">
        <v>101</v>
      </c>
      <c r="B102" s="20" t="s">
        <v>425</v>
      </c>
      <c r="C102" s="20" t="s">
        <v>211</v>
      </c>
      <c r="D102" s="20">
        <v>2011</v>
      </c>
      <c r="E102" s="20" t="s">
        <v>212</v>
      </c>
      <c r="F102" s="20" t="s">
        <v>215</v>
      </c>
      <c r="G102" s="95" t="s">
        <v>213</v>
      </c>
      <c r="H102" s="20" t="s">
        <v>74</v>
      </c>
      <c r="I102" s="20" t="s">
        <v>214</v>
      </c>
      <c r="J102" s="20" t="s">
        <v>21</v>
      </c>
      <c r="K102" s="20" t="s">
        <v>78</v>
      </c>
      <c r="L102" s="20" t="s">
        <v>140</v>
      </c>
      <c r="M102" s="20" t="s">
        <v>136</v>
      </c>
      <c r="N102" s="20" t="s">
        <v>21</v>
      </c>
      <c r="O102" s="20" t="s">
        <v>21</v>
      </c>
      <c r="P102" s="20" t="s">
        <v>729</v>
      </c>
      <c r="Q102" s="20" t="s">
        <v>587</v>
      </c>
      <c r="R102" s="20" t="s">
        <v>622</v>
      </c>
      <c r="S102" s="83" t="s">
        <v>683</v>
      </c>
      <c r="T102" s="69" t="s">
        <v>22</v>
      </c>
      <c r="U102" s="3"/>
      <c r="V102" s="3"/>
      <c r="W102" s="3"/>
      <c r="X102" s="3"/>
      <c r="Y102" s="3"/>
      <c r="Z102" s="3"/>
      <c r="AA102" s="3"/>
    </row>
    <row r="103" spans="1:27" x14ac:dyDescent="0.25">
      <c r="A103" s="20">
        <v>102</v>
      </c>
      <c r="B103" s="20" t="s">
        <v>480</v>
      </c>
      <c r="C103" s="20" t="s">
        <v>481</v>
      </c>
      <c r="D103" s="20">
        <v>2015</v>
      </c>
      <c r="E103" s="20" t="s">
        <v>436</v>
      </c>
      <c r="F103" s="20" t="s">
        <v>482</v>
      </c>
      <c r="G103" s="95" t="s">
        <v>483</v>
      </c>
      <c r="H103" s="20" t="s">
        <v>116</v>
      </c>
      <c r="I103" s="20" t="s">
        <v>173</v>
      </c>
      <c r="J103" s="20" t="s">
        <v>59</v>
      </c>
      <c r="K103" s="20" t="s">
        <v>28</v>
      </c>
      <c r="L103" s="20" t="s">
        <v>140</v>
      </c>
      <c r="M103" s="20" t="s">
        <v>70</v>
      </c>
      <c r="N103" s="20" t="s">
        <v>9</v>
      </c>
      <c r="O103" s="20" t="s">
        <v>9</v>
      </c>
      <c r="P103" s="20" t="s">
        <v>451</v>
      </c>
      <c r="Q103" s="20" t="s">
        <v>587</v>
      </c>
      <c r="R103" s="20" t="s">
        <v>637</v>
      </c>
      <c r="S103" s="82" t="s">
        <v>688</v>
      </c>
      <c r="T103" s="88" t="s">
        <v>22</v>
      </c>
      <c r="U103" s="3"/>
      <c r="V103" s="3"/>
      <c r="W103" s="3"/>
      <c r="X103" s="3"/>
      <c r="Y103" s="3"/>
      <c r="Z103" s="3"/>
      <c r="AA103" s="3"/>
    </row>
    <row r="104" spans="1:27" x14ac:dyDescent="0.25">
      <c r="A104" s="20">
        <v>103</v>
      </c>
      <c r="B104" s="20" t="s">
        <v>426</v>
      </c>
      <c r="C104" s="20" t="s">
        <v>278</v>
      </c>
      <c r="D104" s="20">
        <v>2013</v>
      </c>
      <c r="E104" s="20" t="s">
        <v>76</v>
      </c>
      <c r="F104" s="20" t="s">
        <v>147</v>
      </c>
      <c r="G104" s="95" t="s">
        <v>148</v>
      </c>
      <c r="H104" s="20" t="s">
        <v>17</v>
      </c>
      <c r="I104" s="20" t="s">
        <v>79</v>
      </c>
      <c r="J104" s="20" t="s">
        <v>9</v>
      </c>
      <c r="K104" s="20" t="s">
        <v>28</v>
      </c>
      <c r="L104" s="20" t="s">
        <v>140</v>
      </c>
      <c r="M104" s="20" t="s">
        <v>53</v>
      </c>
      <c r="N104" s="20" t="s">
        <v>9</v>
      </c>
      <c r="O104" s="20" t="s">
        <v>21</v>
      </c>
      <c r="P104" s="20" t="s">
        <v>296</v>
      </c>
      <c r="Q104" s="20" t="s">
        <v>587</v>
      </c>
      <c r="R104" s="20" t="s">
        <v>640</v>
      </c>
      <c r="S104" s="82" t="s">
        <v>688</v>
      </c>
      <c r="T104" s="87" t="s">
        <v>714</v>
      </c>
      <c r="U104" s="3"/>
      <c r="V104" s="3"/>
      <c r="W104" s="3"/>
      <c r="X104" s="3"/>
      <c r="Y104" s="3"/>
      <c r="Z104" s="3"/>
      <c r="AA104" s="3"/>
    </row>
    <row r="105" spans="1:27" x14ac:dyDescent="0.25">
      <c r="A105" s="20">
        <v>104</v>
      </c>
      <c r="B105" s="20" t="s">
        <v>427</v>
      </c>
      <c r="C105" s="20" t="s">
        <v>159</v>
      </c>
      <c r="D105" s="20">
        <v>2004</v>
      </c>
      <c r="E105" s="20" t="s">
        <v>216</v>
      </c>
      <c r="F105" s="20" t="s">
        <v>160</v>
      </c>
      <c r="G105" s="95" t="s">
        <v>324</v>
      </c>
      <c r="H105" s="20" t="s">
        <v>17</v>
      </c>
      <c r="I105" s="20" t="s">
        <v>18</v>
      </c>
      <c r="J105" s="20" t="s">
        <v>9</v>
      </c>
      <c r="K105" s="20" t="s">
        <v>219</v>
      </c>
      <c r="L105" s="20" t="s">
        <v>139</v>
      </c>
      <c r="M105" s="20" t="s">
        <v>20</v>
      </c>
      <c r="N105" s="20" t="s">
        <v>9</v>
      </c>
      <c r="O105" s="20" t="s">
        <v>21</v>
      </c>
      <c r="P105" s="20" t="s">
        <v>325</v>
      </c>
      <c r="Q105" s="20" t="s">
        <v>587</v>
      </c>
      <c r="R105" s="20" t="s">
        <v>632</v>
      </c>
      <c r="S105" s="69"/>
      <c r="T105" s="69"/>
      <c r="U105" s="3"/>
      <c r="V105" s="3"/>
      <c r="W105" s="3"/>
      <c r="X105" s="3"/>
      <c r="Y105" s="3"/>
      <c r="Z105" s="3"/>
      <c r="AA105" s="3"/>
    </row>
    <row r="106" spans="1:27" x14ac:dyDescent="0.25">
      <c r="A106" s="20">
        <v>105</v>
      </c>
      <c r="B106" s="20" t="s">
        <v>428</v>
      </c>
      <c r="C106" s="20" t="s">
        <v>277</v>
      </c>
      <c r="D106" s="20">
        <v>2013</v>
      </c>
      <c r="E106" s="20" t="s">
        <v>293</v>
      </c>
      <c r="F106" s="20" t="s">
        <v>342</v>
      </c>
      <c r="G106" s="95" t="s">
        <v>133</v>
      </c>
      <c r="H106" s="20" t="s">
        <v>180</v>
      </c>
      <c r="I106" s="20" t="s">
        <v>250</v>
      </c>
      <c r="J106" s="20" t="s">
        <v>59</v>
      </c>
      <c r="K106" s="20" t="s">
        <v>189</v>
      </c>
      <c r="L106" s="20" t="s">
        <v>140</v>
      </c>
      <c r="M106" s="20" t="s">
        <v>20</v>
      </c>
      <c r="N106" s="20" t="s">
        <v>9</v>
      </c>
      <c r="O106" s="20" t="s">
        <v>21</v>
      </c>
      <c r="P106" s="20" t="s">
        <v>294</v>
      </c>
      <c r="Q106" s="20" t="s">
        <v>587</v>
      </c>
      <c r="R106" s="20" t="s">
        <v>617</v>
      </c>
      <c r="S106" s="69"/>
      <c r="T106" s="69"/>
      <c r="U106" s="3"/>
      <c r="V106" s="3"/>
      <c r="W106" s="3"/>
      <c r="X106" s="3"/>
      <c r="Y106" s="3"/>
      <c r="Z106" s="3"/>
      <c r="AA106" s="3"/>
    </row>
    <row r="107" spans="1:27" x14ac:dyDescent="0.25">
      <c r="A107" s="20">
        <v>106</v>
      </c>
      <c r="B107" s="25" t="s">
        <v>490</v>
      </c>
      <c r="C107" s="20" t="s">
        <v>533</v>
      </c>
      <c r="D107" s="20">
        <v>2007</v>
      </c>
      <c r="E107" s="20" t="s">
        <v>486</v>
      </c>
      <c r="F107" s="20" t="s">
        <v>491</v>
      </c>
      <c r="G107" s="95" t="s">
        <v>492</v>
      </c>
      <c r="H107" s="20" t="s">
        <v>116</v>
      </c>
      <c r="I107" s="20" t="s">
        <v>129</v>
      </c>
      <c r="J107" s="20" t="s">
        <v>21</v>
      </c>
      <c r="K107" s="20" t="s">
        <v>28</v>
      </c>
      <c r="L107" s="20" t="s">
        <v>140</v>
      </c>
      <c r="M107" s="20" t="s">
        <v>70</v>
      </c>
      <c r="N107" s="20" t="s">
        <v>9</v>
      </c>
      <c r="O107" s="20" t="s">
        <v>9</v>
      </c>
      <c r="P107" s="20" t="s">
        <v>493</v>
      </c>
      <c r="Q107" s="20" t="s">
        <v>587</v>
      </c>
      <c r="R107" s="20" t="s">
        <v>606</v>
      </c>
      <c r="S107" s="73"/>
      <c r="T107" s="73"/>
      <c r="U107" s="3"/>
      <c r="V107" s="3"/>
      <c r="W107" s="3"/>
      <c r="X107" s="3"/>
      <c r="Y107" s="3"/>
      <c r="Z107" s="3"/>
      <c r="AA107" s="3"/>
    </row>
    <row r="108" spans="1:27" x14ac:dyDescent="0.25">
      <c r="A108" s="20">
        <v>107</v>
      </c>
      <c r="B108" s="20" t="s">
        <v>429</v>
      </c>
      <c r="C108" s="20" t="s">
        <v>163</v>
      </c>
      <c r="D108" s="20">
        <v>2001</v>
      </c>
      <c r="E108" s="20" t="s">
        <v>98</v>
      </c>
      <c r="F108" s="20" t="s">
        <v>164</v>
      </c>
      <c r="G108" s="95" t="s">
        <v>165</v>
      </c>
      <c r="H108" s="20" t="s">
        <v>230</v>
      </c>
      <c r="I108" s="20" t="s">
        <v>18</v>
      </c>
      <c r="J108" s="20" t="s">
        <v>9</v>
      </c>
      <c r="K108" s="20" t="s">
        <v>27</v>
      </c>
      <c r="L108" s="20" t="s">
        <v>140</v>
      </c>
      <c r="M108" s="20" t="s">
        <v>29</v>
      </c>
      <c r="N108" s="20" t="s">
        <v>21</v>
      </c>
      <c r="O108" s="20" t="s">
        <v>21</v>
      </c>
      <c r="P108" s="20" t="s">
        <v>55</v>
      </c>
      <c r="Q108" s="20" t="s">
        <v>587</v>
      </c>
      <c r="R108" s="20" t="s">
        <v>617</v>
      </c>
      <c r="S108" s="69"/>
      <c r="T108" s="69"/>
      <c r="U108" s="3"/>
      <c r="V108" s="3"/>
      <c r="W108" s="3"/>
      <c r="X108" s="3"/>
      <c r="Y108" s="3"/>
      <c r="Z108" s="3"/>
      <c r="AA108" s="3"/>
    </row>
    <row r="109" spans="1:27" x14ac:dyDescent="0.25">
      <c r="A109" s="20">
        <v>108</v>
      </c>
      <c r="B109" s="20" t="s">
        <v>573</v>
      </c>
      <c r="C109" s="20" t="s">
        <v>571</v>
      </c>
      <c r="D109" s="20">
        <v>2008</v>
      </c>
      <c r="E109" s="20" t="s">
        <v>572</v>
      </c>
      <c r="F109" s="20" t="s">
        <v>548</v>
      </c>
      <c r="G109" s="95" t="s">
        <v>550</v>
      </c>
      <c r="H109" s="20" t="s">
        <v>74</v>
      </c>
      <c r="I109" s="20" t="s">
        <v>15</v>
      </c>
      <c r="J109" s="20" t="s">
        <v>21</v>
      </c>
      <c r="K109" s="20" t="s">
        <v>28</v>
      </c>
      <c r="L109" s="20" t="s">
        <v>140</v>
      </c>
      <c r="M109" s="20" t="s">
        <v>20</v>
      </c>
      <c r="N109" s="20" t="s">
        <v>9</v>
      </c>
      <c r="O109" s="20" t="s">
        <v>21</v>
      </c>
      <c r="P109" s="20" t="s">
        <v>157</v>
      </c>
      <c r="Q109" s="20" t="s">
        <v>587</v>
      </c>
      <c r="R109" s="20" t="s">
        <v>603</v>
      </c>
      <c r="S109" s="69" t="s">
        <v>688</v>
      </c>
      <c r="T109" s="69" t="s">
        <v>709</v>
      </c>
      <c r="U109" s="3"/>
      <c r="V109" s="3"/>
      <c r="W109" s="3"/>
      <c r="X109" s="3"/>
      <c r="Y109" s="3"/>
      <c r="Z109" s="3"/>
      <c r="AA109" s="3"/>
    </row>
    <row r="110" spans="1:27" x14ac:dyDescent="0.25">
      <c r="A110" s="20">
        <v>109</v>
      </c>
      <c r="B110" s="20" t="s">
        <v>430</v>
      </c>
      <c r="C110" s="20" t="s">
        <v>107</v>
      </c>
      <c r="D110" s="20">
        <v>2001</v>
      </c>
      <c r="E110" s="20" t="s">
        <v>108</v>
      </c>
      <c r="F110" s="20" t="s">
        <v>109</v>
      </c>
      <c r="G110" s="95" t="s">
        <v>110</v>
      </c>
      <c r="H110" s="20" t="s">
        <v>74</v>
      </c>
      <c r="I110" s="20" t="s">
        <v>8</v>
      </c>
      <c r="J110" s="20" t="s">
        <v>21</v>
      </c>
      <c r="K110" s="20" t="s">
        <v>28</v>
      </c>
      <c r="L110" s="20" t="s">
        <v>140</v>
      </c>
      <c r="M110" s="20" t="s">
        <v>20</v>
      </c>
      <c r="N110" s="20" t="s">
        <v>9</v>
      </c>
      <c r="O110" s="20" t="s">
        <v>21</v>
      </c>
      <c r="P110" s="20" t="s">
        <v>95</v>
      </c>
      <c r="Q110" s="20" t="s">
        <v>587</v>
      </c>
      <c r="R110" s="20" t="s">
        <v>606</v>
      </c>
      <c r="S110" s="69"/>
      <c r="T110" s="69"/>
      <c r="U110" s="3"/>
      <c r="V110" s="3"/>
      <c r="W110" s="3"/>
      <c r="X110" s="3"/>
      <c r="Y110" s="3"/>
      <c r="Z110" s="3"/>
      <c r="AA110" s="3"/>
    </row>
    <row r="111" spans="1:27" x14ac:dyDescent="0.25">
      <c r="A111" s="20">
        <v>110</v>
      </c>
      <c r="B111" s="20" t="s">
        <v>460</v>
      </c>
      <c r="C111" s="20" t="s">
        <v>339</v>
      </c>
      <c r="D111" s="20">
        <v>2012</v>
      </c>
      <c r="E111" s="20" t="s">
        <v>340</v>
      </c>
      <c r="F111" s="20" t="s">
        <v>295</v>
      </c>
      <c r="G111" s="95" t="s">
        <v>437</v>
      </c>
      <c r="H111" s="20" t="s">
        <v>17</v>
      </c>
      <c r="I111" s="20" t="s">
        <v>129</v>
      </c>
      <c r="J111" s="20" t="s">
        <v>21</v>
      </c>
      <c r="K111" s="20" t="s">
        <v>219</v>
      </c>
      <c r="L111" s="20" t="s">
        <v>140</v>
      </c>
      <c r="M111" s="20" t="s">
        <v>461</v>
      </c>
      <c r="N111" s="20" t="s">
        <v>9</v>
      </c>
      <c r="O111" s="20" t="s">
        <v>21</v>
      </c>
      <c r="P111" s="20" t="s">
        <v>462</v>
      </c>
      <c r="Q111" s="20" t="s">
        <v>587</v>
      </c>
      <c r="R111" s="20" t="s">
        <v>737</v>
      </c>
      <c r="S111" s="72" t="s">
        <v>683</v>
      </c>
      <c r="T111" s="69" t="s">
        <v>711</v>
      </c>
      <c r="U111" s="3"/>
      <c r="V111" s="3"/>
      <c r="W111" s="3"/>
      <c r="X111" s="3"/>
      <c r="Y111" s="3"/>
      <c r="Z111" s="3"/>
      <c r="AA111" s="3"/>
    </row>
    <row r="112" spans="1:27" x14ac:dyDescent="0.25">
      <c r="A112" s="20">
        <v>111</v>
      </c>
      <c r="B112" s="20" t="s">
        <v>431</v>
      </c>
      <c r="C112" s="20" t="s">
        <v>34</v>
      </c>
      <c r="D112" s="20">
        <v>2011</v>
      </c>
      <c r="E112" s="20" t="s">
        <v>45</v>
      </c>
      <c r="F112" s="20" t="s">
        <v>35</v>
      </c>
      <c r="G112" s="95" t="s">
        <v>181</v>
      </c>
      <c r="H112" s="20" t="s">
        <v>30</v>
      </c>
      <c r="I112" s="20" t="s">
        <v>128</v>
      </c>
      <c r="J112" s="20" t="s">
        <v>9</v>
      </c>
      <c r="K112" s="20" t="s">
        <v>27</v>
      </c>
      <c r="L112" s="20" t="s">
        <v>140</v>
      </c>
      <c r="M112" s="20" t="s">
        <v>478</v>
      </c>
      <c r="N112" s="20" t="s">
        <v>9</v>
      </c>
      <c r="O112" s="20" t="s">
        <v>9</v>
      </c>
      <c r="P112" s="20" t="s">
        <v>182</v>
      </c>
      <c r="Q112" s="20" t="s">
        <v>587</v>
      </c>
      <c r="R112" s="20" t="s">
        <v>605</v>
      </c>
      <c r="S112" s="69"/>
      <c r="T112" s="69"/>
      <c r="U112" s="3"/>
      <c r="V112" s="3"/>
      <c r="W112" s="3"/>
      <c r="X112" s="3"/>
      <c r="Y112" s="3"/>
      <c r="Z112" s="3"/>
      <c r="AA112" s="3"/>
    </row>
    <row r="113" spans="1:27" x14ac:dyDescent="0.25">
      <c r="A113" s="20">
        <v>112</v>
      </c>
      <c r="B113" s="20" t="s">
        <v>527</v>
      </c>
      <c r="C113" s="20" t="s">
        <v>528</v>
      </c>
      <c r="D113" s="20">
        <v>2017</v>
      </c>
      <c r="E113" s="20" t="s">
        <v>108</v>
      </c>
      <c r="F113" s="20" t="s">
        <v>529</v>
      </c>
      <c r="G113" s="95" t="s">
        <v>530</v>
      </c>
      <c r="H113" s="20" t="s">
        <v>30</v>
      </c>
      <c r="I113" s="20" t="s">
        <v>250</v>
      </c>
      <c r="J113" s="20" t="s">
        <v>9</v>
      </c>
      <c r="K113" s="20" t="s">
        <v>27</v>
      </c>
      <c r="L113" s="20" t="s">
        <v>140</v>
      </c>
      <c r="M113" s="20" t="s">
        <v>136</v>
      </c>
      <c r="N113" s="20" t="s">
        <v>21</v>
      </c>
      <c r="O113" s="20" t="s">
        <v>21</v>
      </c>
      <c r="P113" s="20" t="s">
        <v>531</v>
      </c>
      <c r="Q113" s="20" t="s">
        <v>587</v>
      </c>
      <c r="R113" s="20" t="s">
        <v>603</v>
      </c>
      <c r="S113" s="69" t="s">
        <v>22</v>
      </c>
      <c r="T113" s="83" t="s">
        <v>716</v>
      </c>
      <c r="U113" s="3"/>
      <c r="V113" s="3"/>
      <c r="W113" s="3"/>
      <c r="X113" s="3"/>
      <c r="Y113" s="3"/>
      <c r="Z113" s="3"/>
      <c r="AA113" s="3"/>
    </row>
    <row r="114" spans="1:27" x14ac:dyDescent="0.25">
      <c r="A114" s="20">
        <v>113</v>
      </c>
      <c r="B114" s="20" t="s">
        <v>355</v>
      </c>
      <c r="C114" s="20" t="s">
        <v>12</v>
      </c>
      <c r="D114" s="20">
        <v>2005</v>
      </c>
      <c r="E114" s="20" t="s">
        <v>50</v>
      </c>
      <c r="F114" s="20" t="s">
        <v>338</v>
      </c>
      <c r="G114" s="95" t="s">
        <v>24</v>
      </c>
      <c r="H114" s="20" t="s">
        <v>17</v>
      </c>
      <c r="I114" s="20" t="s">
        <v>250</v>
      </c>
      <c r="J114" s="20" t="s">
        <v>9</v>
      </c>
      <c r="K114" s="20" t="s">
        <v>28</v>
      </c>
      <c r="L114" s="20" t="s">
        <v>140</v>
      </c>
      <c r="M114" s="20" t="s">
        <v>29</v>
      </c>
      <c r="N114" s="20" t="s">
        <v>21</v>
      </c>
      <c r="O114" s="20" t="s">
        <v>21</v>
      </c>
      <c r="P114" s="20" t="s">
        <v>80</v>
      </c>
      <c r="Q114" s="20" t="s">
        <v>587</v>
      </c>
      <c r="R114" s="20" t="s">
        <v>712</v>
      </c>
      <c r="S114" s="74" t="s">
        <v>686</v>
      </c>
      <c r="T114" s="88" t="s">
        <v>22</v>
      </c>
      <c r="U114" s="3"/>
      <c r="V114" s="3"/>
      <c r="W114" s="3"/>
      <c r="X114" s="3"/>
      <c r="Y114" s="3"/>
      <c r="Z114" s="3"/>
      <c r="AA114" s="3"/>
    </row>
    <row r="115" spans="1:27" x14ac:dyDescent="0.25">
      <c r="A115" s="24">
        <v>114</v>
      </c>
      <c r="B115" s="24" t="s">
        <v>379</v>
      </c>
      <c r="C115" s="24" t="s">
        <v>12</v>
      </c>
      <c r="D115" s="24">
        <v>2014</v>
      </c>
      <c r="E115" s="24" t="s">
        <v>46</v>
      </c>
      <c r="F115" s="24" t="s">
        <v>301</v>
      </c>
      <c r="G115" s="96" t="s">
        <v>346</v>
      </c>
      <c r="H115" s="24" t="s">
        <v>17</v>
      </c>
      <c r="I115" s="24" t="s">
        <v>250</v>
      </c>
      <c r="J115" s="24" t="s">
        <v>9</v>
      </c>
      <c r="K115" s="24" t="s">
        <v>28</v>
      </c>
      <c r="L115" s="24" t="s">
        <v>140</v>
      </c>
      <c r="M115" s="24" t="s">
        <v>450</v>
      </c>
      <c r="N115" s="24" t="s">
        <v>9</v>
      </c>
      <c r="O115" s="24" t="s">
        <v>21</v>
      </c>
      <c r="P115" s="24" t="s">
        <v>347</v>
      </c>
      <c r="Q115" s="24" t="s">
        <v>192</v>
      </c>
      <c r="R115" s="24" t="s">
        <v>717</v>
      </c>
      <c r="S115" s="72" t="s">
        <v>683</v>
      </c>
      <c r="T115" s="88" t="s">
        <v>22</v>
      </c>
      <c r="U115" s="3"/>
      <c r="V115" s="3"/>
      <c r="W115" s="3"/>
      <c r="X115" s="3"/>
      <c r="Y115" s="3"/>
      <c r="Z115" s="3"/>
      <c r="AA115" s="3"/>
    </row>
    <row r="116" spans="1:27" x14ac:dyDescent="0.25">
      <c r="A116" s="20">
        <v>115</v>
      </c>
      <c r="B116" s="20" t="s">
        <v>510</v>
      </c>
      <c r="C116" s="20" t="s">
        <v>511</v>
      </c>
      <c r="D116" s="20">
        <v>2013</v>
      </c>
      <c r="E116" s="20" t="s">
        <v>512</v>
      </c>
      <c r="F116" s="20" t="s">
        <v>491</v>
      </c>
      <c r="G116" s="95" t="s">
        <v>492</v>
      </c>
      <c r="H116" s="20" t="s">
        <v>116</v>
      </c>
      <c r="I116" s="20" t="s">
        <v>128</v>
      </c>
      <c r="J116" s="20" t="s">
        <v>21</v>
      </c>
      <c r="K116" s="20" t="s">
        <v>28</v>
      </c>
      <c r="L116" s="20" t="s">
        <v>140</v>
      </c>
      <c r="M116" s="20" t="s">
        <v>513</v>
      </c>
      <c r="N116" s="20" t="s">
        <v>9</v>
      </c>
      <c r="O116" s="20" t="s">
        <v>9</v>
      </c>
      <c r="P116" s="20" t="s">
        <v>612</v>
      </c>
      <c r="Q116" s="20" t="s">
        <v>587</v>
      </c>
      <c r="R116" s="20" t="s">
        <v>605</v>
      </c>
      <c r="S116" s="69"/>
      <c r="T116" s="69"/>
      <c r="U116" s="3"/>
      <c r="V116" s="3"/>
      <c r="W116" s="3"/>
      <c r="X116" s="3"/>
      <c r="Y116" s="3"/>
      <c r="Z116" s="3"/>
      <c r="AA116" s="3"/>
    </row>
    <row r="117" spans="1:27" x14ac:dyDescent="0.25">
      <c r="A117" s="99">
        <v>116</v>
      </c>
      <c r="B117" s="28" t="s">
        <v>360</v>
      </c>
      <c r="C117" s="28" t="s">
        <v>279</v>
      </c>
      <c r="D117" s="28">
        <v>2007</v>
      </c>
      <c r="E117" s="28" t="s">
        <v>98</v>
      </c>
      <c r="F117" s="28" t="s">
        <v>280</v>
      </c>
      <c r="G117" s="100" t="s">
        <v>245</v>
      </c>
      <c r="H117" s="28" t="s">
        <v>17</v>
      </c>
      <c r="I117" s="28" t="s">
        <v>276</v>
      </c>
      <c r="J117" s="28" t="s">
        <v>59</v>
      </c>
      <c r="K117" s="28" t="s">
        <v>231</v>
      </c>
      <c r="L117" s="28" t="s">
        <v>139</v>
      </c>
      <c r="M117" s="28" t="s">
        <v>136</v>
      </c>
      <c r="N117" s="28" t="s">
        <v>21</v>
      </c>
      <c r="O117" s="28" t="s">
        <v>21</v>
      </c>
      <c r="P117" s="28" t="s">
        <v>735</v>
      </c>
      <c r="Q117" s="28" t="s">
        <v>585</v>
      </c>
      <c r="R117" s="28" t="s">
        <v>622</v>
      </c>
      <c r="S117" s="69" t="s">
        <v>22</v>
      </c>
      <c r="T117" s="69" t="s">
        <v>713</v>
      </c>
      <c r="U117" s="3"/>
      <c r="V117" s="3"/>
      <c r="W117" s="3"/>
      <c r="X117" s="3"/>
      <c r="Y117" s="3"/>
      <c r="Z117" s="3"/>
      <c r="AA117" s="3"/>
    </row>
    <row r="118" spans="1:27" x14ac:dyDescent="0.25">
      <c r="A118" s="99">
        <v>117</v>
      </c>
      <c r="B118" s="28" t="s">
        <v>377</v>
      </c>
      <c r="C118" s="28" t="s">
        <v>279</v>
      </c>
      <c r="D118" s="28">
        <v>2017</v>
      </c>
      <c r="E118" s="28" t="s">
        <v>318</v>
      </c>
      <c r="F118" s="28" t="s">
        <v>280</v>
      </c>
      <c r="G118" s="100" t="s">
        <v>245</v>
      </c>
      <c r="H118" s="28" t="s">
        <v>17</v>
      </c>
      <c r="I118" s="28" t="s">
        <v>173</v>
      </c>
      <c r="J118" s="28" t="s">
        <v>59</v>
      </c>
      <c r="K118" s="28" t="s">
        <v>231</v>
      </c>
      <c r="L118" s="28" t="s">
        <v>139</v>
      </c>
      <c r="M118" s="28" t="s">
        <v>136</v>
      </c>
      <c r="N118" s="28" t="s">
        <v>21</v>
      </c>
      <c r="O118" s="28" t="s">
        <v>21</v>
      </c>
      <c r="P118" s="28" t="s">
        <v>233</v>
      </c>
      <c r="Q118" s="28" t="s">
        <v>585</v>
      </c>
      <c r="R118" s="28" t="s">
        <v>617</v>
      </c>
      <c r="S118" s="69"/>
      <c r="T118" s="69"/>
      <c r="U118" s="3"/>
      <c r="V118" s="3"/>
      <c r="W118" s="3"/>
      <c r="X118" s="3"/>
      <c r="Y118" s="3"/>
      <c r="Z118" s="3"/>
      <c r="AA118" s="3"/>
    </row>
    <row r="119" spans="1:27" x14ac:dyDescent="0.25">
      <c r="A119" s="20">
        <v>118</v>
      </c>
      <c r="B119" s="20" t="s">
        <v>465</v>
      </c>
      <c r="C119" s="20" t="s">
        <v>444</v>
      </c>
      <c r="D119" s="20">
        <v>2005</v>
      </c>
      <c r="E119" s="20" t="s">
        <v>101</v>
      </c>
      <c r="F119" s="20" t="s">
        <v>464</v>
      </c>
      <c r="G119" s="95" t="s">
        <v>89</v>
      </c>
      <c r="H119" s="20" t="s">
        <v>180</v>
      </c>
      <c r="I119" s="20" t="s">
        <v>85</v>
      </c>
      <c r="J119" s="20" t="s">
        <v>59</v>
      </c>
      <c r="K119" s="20" t="s">
        <v>189</v>
      </c>
      <c r="L119" s="20" t="s">
        <v>140</v>
      </c>
      <c r="M119" s="20" t="s">
        <v>29</v>
      </c>
      <c r="N119" s="20" t="s">
        <v>21</v>
      </c>
      <c r="O119" s="20" t="s">
        <v>21</v>
      </c>
      <c r="P119" s="20" t="s">
        <v>642</v>
      </c>
      <c r="Q119" s="20" t="s">
        <v>587</v>
      </c>
      <c r="R119" s="20" t="s">
        <v>607</v>
      </c>
      <c r="S119" s="72" t="s">
        <v>683</v>
      </c>
      <c r="T119" s="88" t="s">
        <v>22</v>
      </c>
      <c r="U119" s="3"/>
      <c r="V119" s="3"/>
      <c r="W119" s="3"/>
      <c r="X119" s="3"/>
      <c r="Y119" s="3"/>
      <c r="Z119" s="3"/>
      <c r="AA119" s="3"/>
    </row>
    <row r="120" spans="1:27" x14ac:dyDescent="0.25">
      <c r="A120" s="20">
        <v>119</v>
      </c>
      <c r="B120" s="20" t="s">
        <v>494</v>
      </c>
      <c r="C120" s="20" t="s">
        <v>495</v>
      </c>
      <c r="D120" s="20">
        <v>2015</v>
      </c>
      <c r="E120" s="20" t="s">
        <v>496</v>
      </c>
      <c r="F120" s="20" t="s">
        <v>497</v>
      </c>
      <c r="G120" s="95" t="s">
        <v>498</v>
      </c>
      <c r="H120" s="20" t="s">
        <v>17</v>
      </c>
      <c r="I120" s="20" t="s">
        <v>499</v>
      </c>
      <c r="J120" s="20" t="s">
        <v>9</v>
      </c>
      <c r="K120" s="20" t="s">
        <v>28</v>
      </c>
      <c r="L120" s="20" t="s">
        <v>140</v>
      </c>
      <c r="M120" s="20" t="s">
        <v>53</v>
      </c>
      <c r="N120" s="20" t="s">
        <v>9</v>
      </c>
      <c r="O120" s="20" t="s">
        <v>21</v>
      </c>
      <c r="P120" s="20" t="s">
        <v>730</v>
      </c>
      <c r="Q120" s="20" t="s">
        <v>587</v>
      </c>
      <c r="R120" s="20" t="s">
        <v>621</v>
      </c>
      <c r="S120" s="74" t="s">
        <v>686</v>
      </c>
      <c r="T120" s="88" t="s">
        <v>22</v>
      </c>
      <c r="U120" s="3"/>
      <c r="V120" s="3"/>
      <c r="W120" s="3"/>
      <c r="X120" s="3"/>
      <c r="Y120" s="3"/>
      <c r="Z120" s="3"/>
      <c r="AA120" s="3"/>
    </row>
    <row r="121" spans="1:27" x14ac:dyDescent="0.25">
      <c r="A121" s="20">
        <v>120</v>
      </c>
      <c r="B121" s="20" t="s">
        <v>534</v>
      </c>
      <c r="C121" s="20" t="s">
        <v>535</v>
      </c>
      <c r="D121" s="20">
        <v>2020</v>
      </c>
      <c r="E121" s="20" t="s">
        <v>96</v>
      </c>
      <c r="F121" s="20" t="s">
        <v>536</v>
      </c>
      <c r="G121" s="95" t="s">
        <v>537</v>
      </c>
      <c r="H121" s="20" t="s">
        <v>180</v>
      </c>
      <c r="I121" s="20" t="s">
        <v>250</v>
      </c>
      <c r="J121" s="20" t="s">
        <v>9</v>
      </c>
      <c r="K121" s="20" t="s">
        <v>28</v>
      </c>
      <c r="L121" s="20" t="s">
        <v>140</v>
      </c>
      <c r="M121" s="20" t="s">
        <v>208</v>
      </c>
      <c r="N121" s="20" t="s">
        <v>9</v>
      </c>
      <c r="O121" s="20" t="s">
        <v>9</v>
      </c>
      <c r="P121" s="20" t="s">
        <v>646</v>
      </c>
      <c r="Q121" s="20" t="s">
        <v>587</v>
      </c>
      <c r="R121" s="20" t="s">
        <v>648</v>
      </c>
      <c r="S121" s="69" t="s">
        <v>22</v>
      </c>
      <c r="T121" s="69" t="s">
        <v>721</v>
      </c>
      <c r="U121" s="3"/>
      <c r="V121" s="3"/>
      <c r="W121" s="3"/>
      <c r="X121" s="3"/>
      <c r="Y121" s="3"/>
      <c r="Z121" s="3"/>
      <c r="AA121" s="3"/>
    </row>
    <row r="122" spans="1:27" x14ac:dyDescent="0.25">
      <c r="A122" s="20">
        <v>121</v>
      </c>
      <c r="B122" s="20" t="s">
        <v>362</v>
      </c>
      <c r="C122" s="20" t="s">
        <v>125</v>
      </c>
      <c r="D122" s="20">
        <v>2005</v>
      </c>
      <c r="E122" s="20" t="s">
        <v>46</v>
      </c>
      <c r="F122" s="20" t="s">
        <v>337</v>
      </c>
      <c r="G122" s="95" t="s">
        <v>188</v>
      </c>
      <c r="H122" s="20" t="s">
        <v>74</v>
      </c>
      <c r="I122" s="20" t="s">
        <v>190</v>
      </c>
      <c r="J122" s="20" t="s">
        <v>21</v>
      </c>
      <c r="K122" s="20" t="s">
        <v>189</v>
      </c>
      <c r="L122" s="20" t="s">
        <v>140</v>
      </c>
      <c r="M122" s="20" t="s">
        <v>29</v>
      </c>
      <c r="N122" s="20" t="s">
        <v>21</v>
      </c>
      <c r="O122" s="20" t="s">
        <v>21</v>
      </c>
      <c r="P122" s="20" t="s">
        <v>191</v>
      </c>
      <c r="Q122" s="20" t="s">
        <v>587</v>
      </c>
      <c r="R122" s="20" t="s">
        <v>603</v>
      </c>
      <c r="S122" s="69" t="s">
        <v>22</v>
      </c>
      <c r="T122" s="69" t="s">
        <v>700</v>
      </c>
      <c r="U122" s="3"/>
      <c r="V122" s="3"/>
      <c r="W122" s="3"/>
      <c r="X122" s="3"/>
      <c r="Y122" s="3"/>
      <c r="Z122" s="3"/>
      <c r="AA122" s="3"/>
    </row>
    <row r="123" spans="1:27" x14ac:dyDescent="0.25">
      <c r="A123" s="24">
        <v>122</v>
      </c>
      <c r="B123" s="24" t="s">
        <v>363</v>
      </c>
      <c r="C123" s="24" t="s">
        <v>125</v>
      </c>
      <c r="D123" s="24">
        <v>2007</v>
      </c>
      <c r="E123" s="24" t="s">
        <v>318</v>
      </c>
      <c r="F123" s="24" t="s">
        <v>337</v>
      </c>
      <c r="G123" s="96" t="s">
        <v>188</v>
      </c>
      <c r="H123" s="24" t="s">
        <v>74</v>
      </c>
      <c r="I123" s="24" t="s">
        <v>190</v>
      </c>
      <c r="J123" s="24" t="s">
        <v>21</v>
      </c>
      <c r="K123" s="24" t="s">
        <v>189</v>
      </c>
      <c r="L123" s="24" t="s">
        <v>140</v>
      </c>
      <c r="M123" s="24" t="s">
        <v>29</v>
      </c>
      <c r="N123" s="24" t="s">
        <v>21</v>
      </c>
      <c r="O123" s="24" t="s">
        <v>21</v>
      </c>
      <c r="P123" s="24" t="s">
        <v>191</v>
      </c>
      <c r="Q123" s="24" t="s">
        <v>192</v>
      </c>
      <c r="R123" s="24" t="s">
        <v>603</v>
      </c>
      <c r="S123" s="69" t="s">
        <v>22</v>
      </c>
      <c r="T123" s="69" t="s">
        <v>704</v>
      </c>
      <c r="U123" s="3"/>
      <c r="V123" s="3"/>
      <c r="W123" s="3"/>
      <c r="X123" s="3"/>
      <c r="Y123" s="3"/>
      <c r="Z123" s="3"/>
      <c r="AA123" s="3"/>
    </row>
    <row r="124" spans="1:27" x14ac:dyDescent="0.25">
      <c r="A124" s="20">
        <v>123</v>
      </c>
      <c r="B124" s="20" t="s">
        <v>361</v>
      </c>
      <c r="C124" s="20" t="s">
        <v>125</v>
      </c>
      <c r="D124" s="20">
        <v>2009</v>
      </c>
      <c r="E124" s="20" t="s">
        <v>168</v>
      </c>
      <c r="F124" s="20" t="s">
        <v>337</v>
      </c>
      <c r="G124" s="95" t="s">
        <v>188</v>
      </c>
      <c r="H124" s="20" t="s">
        <v>74</v>
      </c>
      <c r="I124" s="20" t="s">
        <v>190</v>
      </c>
      <c r="J124" s="20" t="s">
        <v>21</v>
      </c>
      <c r="K124" s="20" t="s">
        <v>189</v>
      </c>
      <c r="L124" s="20" t="s">
        <v>140</v>
      </c>
      <c r="M124" s="20" t="s">
        <v>29</v>
      </c>
      <c r="N124" s="20" t="s">
        <v>21</v>
      </c>
      <c r="O124" s="20" t="s">
        <v>21</v>
      </c>
      <c r="P124" s="20" t="s">
        <v>191</v>
      </c>
      <c r="Q124" s="20" t="s">
        <v>587</v>
      </c>
      <c r="R124" s="20" t="s">
        <v>651</v>
      </c>
      <c r="S124" s="69"/>
      <c r="T124" s="69"/>
      <c r="U124" s="3"/>
      <c r="V124" s="3"/>
      <c r="W124" s="3"/>
      <c r="X124" s="3"/>
      <c r="Y124" s="3"/>
      <c r="Z124" s="3"/>
      <c r="AA124" s="3"/>
    </row>
    <row r="125" spans="1:27" x14ac:dyDescent="0.25">
      <c r="A125" s="20">
        <v>124</v>
      </c>
      <c r="B125" s="25" t="s">
        <v>432</v>
      </c>
      <c r="C125" s="20" t="s">
        <v>169</v>
      </c>
      <c r="D125" s="20">
        <v>2009</v>
      </c>
      <c r="E125" s="20" t="s">
        <v>170</v>
      </c>
      <c r="F125" s="20" t="s">
        <v>171</v>
      </c>
      <c r="G125" s="95" t="s">
        <v>172</v>
      </c>
      <c r="H125" s="20" t="s">
        <v>30</v>
      </c>
      <c r="I125" s="20" t="s">
        <v>173</v>
      </c>
      <c r="J125" s="20" t="s">
        <v>9</v>
      </c>
      <c r="K125" s="20" t="s">
        <v>27</v>
      </c>
      <c r="L125" s="20" t="s">
        <v>140</v>
      </c>
      <c r="M125" s="20" t="s">
        <v>53</v>
      </c>
      <c r="N125" s="20" t="s">
        <v>9</v>
      </c>
      <c r="O125" s="20" t="s">
        <v>21</v>
      </c>
      <c r="P125" s="20" t="s">
        <v>158</v>
      </c>
      <c r="Q125" s="20" t="s">
        <v>587</v>
      </c>
      <c r="R125" s="20" t="s">
        <v>606</v>
      </c>
      <c r="S125" s="73"/>
      <c r="T125" s="73" t="s">
        <v>687</v>
      </c>
      <c r="U125" s="3"/>
      <c r="V125" s="3"/>
      <c r="W125" s="3"/>
      <c r="X125" s="3"/>
      <c r="Y125" s="3"/>
      <c r="Z125" s="3"/>
      <c r="AA125" s="3"/>
    </row>
  </sheetData>
  <autoFilter ref="A1:X125" xr:uid="{BD4A6C70-8507-4B4A-8FF8-89379E8F198D}"/>
  <sortState xmlns:xlrd2="http://schemas.microsoft.com/office/spreadsheetml/2017/richdata2" ref="A2:Q125">
    <sortCondition ref="C2:C125"/>
  </sortState>
  <hyperlinks>
    <hyperlink ref="B8" r:id="rId1" xr:uid="{E3AD89F5-0EF7-40D9-ADEB-02A9758BA73D}"/>
    <hyperlink ref="B38" r:id="rId2" display="https://doi.org/10.1126/science.1072838" xr:uid="{1E77FF9B-E3E7-453F-A893-55E2D4966C09}"/>
    <hyperlink ref="B41" r:id="rId3" display="https://doi.org/10.1098/rspb.2000.1023" xr:uid="{461026BB-74AD-4C85-84A7-F092F612DD1C}"/>
    <hyperlink ref="B44" r:id="rId4" xr:uid="{DDE8451B-0AE5-4562-8211-918240D425E2}"/>
    <hyperlink ref="B46" r:id="rId5" display="https://doi.org/10.1093/auk/121.2.486" xr:uid="{59DE60EE-9719-4C88-BAF8-14F8E334CDE4}"/>
    <hyperlink ref="B50" r:id="rId6" xr:uid="{8D5AC8B0-0565-4B1E-BA75-7EB73EBB97C1}"/>
    <hyperlink ref="C53" r:id="rId7" display="https://www.webofscience.com/wos/author/record/3831527" xr:uid="{E90A37A7-8FB1-4162-834A-EFEA1866C44D}"/>
    <hyperlink ref="B60" r:id="rId8" xr:uid="{934744CB-4F21-41C4-BCBB-037ADC098CD3}"/>
    <hyperlink ref="B69" r:id="rId9" tooltip="Persistent link using digital object identifier" xr:uid="{8622A480-F938-4E18-B830-3AB7D86B5473}"/>
    <hyperlink ref="B76" r:id="rId10" xr:uid="{CBC9B4C2-4B07-44D2-848F-C3B90E96EEDC}"/>
    <hyperlink ref="B79" r:id="rId11" xr:uid="{E5F1DCA2-2632-493F-8F7F-5F1D0EAA62CF}"/>
    <hyperlink ref="B88" r:id="rId12" xr:uid="{211D7C16-A8CD-4391-A991-82660B912B8A}"/>
    <hyperlink ref="B107" r:id="rId13" xr:uid="{E19C56FC-647D-4143-A84C-25E20B8DCD7E}"/>
    <hyperlink ref="B125" r:id="rId14" display="https://doi.org/10.1111/j.1557-9263.2009.00243.x" xr:uid="{0B99DF28-86B7-4438-B05D-F7E17EC4BFD5}"/>
    <hyperlink ref="B63" r:id="rId15" tooltip="Persistent link using digital object identifier" xr:uid="{399580B4-FBA2-493E-951D-35877F74A7B7}"/>
    <hyperlink ref="B31" r:id="rId16" tooltip="Persistent link using digital object identifier" xr:uid="{8A996ED1-7663-4F11-90D1-60B1D44CC8EB}"/>
    <hyperlink ref="B91" r:id="rId17" xr:uid="{6B6ADDA6-2D1E-4BE8-952D-DF6DB984882B}"/>
    <hyperlink ref="B48" r:id="rId18" xr:uid="{CCBBBF85-BA86-4B3A-B0AD-B8F7E4AF9D37}"/>
    <hyperlink ref="B9" r:id="rId19" tooltip="Persistent link using digital object identifier" xr:uid="{79C0F581-E445-42F5-88B3-46ADBA5CD8BD}"/>
    <hyperlink ref="B75" r:id="rId20" xr:uid="{BBD7B8ED-D973-4273-BB33-8990F0D3A881}"/>
    <hyperlink ref="B61" r:id="rId21" xr:uid="{BA493F2B-4BCC-486B-A1FE-D3DAE8F985A3}"/>
    <hyperlink ref="B71" r:id="rId22" xr:uid="{9EB712F1-4157-44C6-A8D2-6F7E1CF7026E}"/>
  </hyperlinks>
  <pageMargins left="0.7" right="0.7" top="0.75" bottom="0.75" header="0.3" footer="0.3"/>
  <pageSetup paperSize="9" orientation="portrait" r:id="rId2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772B6-064D-45BE-A42A-53D0AD546609}">
  <dimension ref="A1:X127"/>
  <sheetViews>
    <sheetView zoomScale="85" zoomScaleNormal="85" workbookViewId="0">
      <pane ySplit="1" topLeftCell="A2" activePane="bottomLeft" state="frozen"/>
      <selection pane="bottomLeft" activeCell="O4" sqref="O4:O97"/>
    </sheetView>
  </sheetViews>
  <sheetFormatPr baseColWidth="10" defaultRowHeight="15" x14ac:dyDescent="0.25"/>
  <cols>
    <col min="1" max="1" width="4" style="50" bestFit="1" customWidth="1"/>
    <col min="2" max="2" width="13.28515625" style="50" bestFit="1" customWidth="1"/>
    <col min="3" max="3" width="5" style="50" bestFit="1" customWidth="1"/>
    <col min="4" max="4" width="27.5703125" style="50" customWidth="1"/>
    <col min="5" max="5" width="10.140625" style="50" bestFit="1" customWidth="1"/>
    <col min="6" max="6" width="21.42578125" style="66" bestFit="1" customWidth="1"/>
    <col min="7" max="7" width="38.85546875" style="70" customWidth="1"/>
    <col min="8" max="8" width="4.140625" style="50" bestFit="1" customWidth="1"/>
    <col min="9" max="9" width="9" style="50" customWidth="1"/>
    <col min="10" max="10" width="10.5703125" style="50" bestFit="1" customWidth="1"/>
    <col min="11" max="11" width="7" style="50" bestFit="1" customWidth="1"/>
    <col min="12" max="12" width="18.42578125" style="50" bestFit="1" customWidth="1"/>
    <col min="13" max="13" width="11.140625" style="50" bestFit="1" customWidth="1"/>
    <col min="14" max="14" width="6.85546875" style="50" bestFit="1" customWidth="1"/>
    <col min="15" max="15" width="10.42578125" style="50" bestFit="1" customWidth="1"/>
    <col min="16" max="16" width="12" style="50" customWidth="1"/>
    <col min="17" max="17" width="4.85546875" style="50" bestFit="1" customWidth="1"/>
    <col min="18" max="18" width="6.85546875" style="50" customWidth="1"/>
    <col min="20" max="20" width="10.7109375" style="50" bestFit="1" customWidth="1"/>
    <col min="21" max="21" width="14.85546875" style="50" bestFit="1" customWidth="1"/>
    <col min="22" max="22" width="38.85546875" style="50" bestFit="1" customWidth="1"/>
    <col min="23" max="24" width="11.42578125" style="50"/>
  </cols>
  <sheetData>
    <row r="1" spans="1:24" x14ac:dyDescent="0.25">
      <c r="A1" s="5" t="s">
        <v>6</v>
      </c>
      <c r="B1" s="5" t="s">
        <v>638</v>
      </c>
      <c r="C1" s="5" t="s">
        <v>3</v>
      </c>
      <c r="D1" s="5" t="s">
        <v>0</v>
      </c>
      <c r="E1" s="5" t="s">
        <v>583</v>
      </c>
      <c r="F1" s="5" t="s">
        <v>26</v>
      </c>
      <c r="G1" s="12" t="s">
        <v>654</v>
      </c>
      <c r="H1" s="31" t="s">
        <v>607</v>
      </c>
      <c r="I1" s="6" t="s">
        <v>643</v>
      </c>
      <c r="J1" s="7" t="s">
        <v>619</v>
      </c>
      <c r="K1" s="29" t="s">
        <v>644</v>
      </c>
      <c r="L1" s="9" t="s">
        <v>680</v>
      </c>
      <c r="M1" s="35" t="s">
        <v>645</v>
      </c>
      <c r="N1" s="32" t="s">
        <v>656</v>
      </c>
      <c r="O1" s="63" t="s">
        <v>616</v>
      </c>
      <c r="P1" s="11" t="s">
        <v>606</v>
      </c>
      <c r="Q1" s="10" t="s">
        <v>651</v>
      </c>
      <c r="R1" s="61" t="s">
        <v>677</v>
      </c>
      <c r="T1" s="36" t="s">
        <v>618</v>
      </c>
      <c r="U1" s="8" t="s">
        <v>611</v>
      </c>
      <c r="V1"/>
      <c r="W1"/>
      <c r="X1"/>
    </row>
    <row r="2" spans="1:24" x14ac:dyDescent="0.25">
      <c r="A2" s="13">
        <v>1</v>
      </c>
      <c r="B2" s="13" t="s">
        <v>222</v>
      </c>
      <c r="C2" s="13">
        <v>2004</v>
      </c>
      <c r="D2" s="13" t="s">
        <v>223</v>
      </c>
      <c r="E2" s="13" t="s">
        <v>17</v>
      </c>
      <c r="F2" s="13" t="s">
        <v>28</v>
      </c>
      <c r="G2" s="20" t="s">
        <v>634</v>
      </c>
      <c r="H2" s="21">
        <v>0</v>
      </c>
      <c r="I2" s="14">
        <v>1</v>
      </c>
      <c r="J2" s="15">
        <v>1</v>
      </c>
      <c r="K2" s="30">
        <v>1</v>
      </c>
      <c r="L2" s="17">
        <v>0</v>
      </c>
      <c r="M2" s="23">
        <v>0</v>
      </c>
      <c r="N2" s="33">
        <v>0</v>
      </c>
      <c r="O2" s="64">
        <v>0</v>
      </c>
      <c r="P2" s="19">
        <v>0</v>
      </c>
      <c r="Q2" s="18">
        <v>0</v>
      </c>
      <c r="R2" s="62">
        <f>SUM(T2:U2)</f>
        <v>0</v>
      </c>
      <c r="T2" s="37">
        <v>0</v>
      </c>
      <c r="U2" s="16">
        <v>0</v>
      </c>
      <c r="V2" s="51" t="s">
        <v>668</v>
      </c>
      <c r="W2"/>
      <c r="X2"/>
    </row>
    <row r="3" spans="1:24" x14ac:dyDescent="0.25">
      <c r="A3" s="13">
        <v>2</v>
      </c>
      <c r="B3" s="13" t="s">
        <v>167</v>
      </c>
      <c r="C3" s="13">
        <v>2008</v>
      </c>
      <c r="D3" s="13" t="s">
        <v>166</v>
      </c>
      <c r="E3" s="13" t="s">
        <v>17</v>
      </c>
      <c r="F3" s="13" t="s">
        <v>28</v>
      </c>
      <c r="G3" s="20" t="s">
        <v>720</v>
      </c>
      <c r="H3" s="21">
        <v>0</v>
      </c>
      <c r="I3" s="14">
        <v>1</v>
      </c>
      <c r="J3" s="15">
        <v>0</v>
      </c>
      <c r="K3" s="30">
        <v>0</v>
      </c>
      <c r="L3" s="17">
        <v>1</v>
      </c>
      <c r="M3" s="23">
        <v>0</v>
      </c>
      <c r="N3" s="33">
        <v>0</v>
      </c>
      <c r="O3" s="64">
        <v>0</v>
      </c>
      <c r="P3" s="19">
        <v>0</v>
      </c>
      <c r="Q3" s="18">
        <v>0</v>
      </c>
      <c r="R3" s="62">
        <f t="shared" ref="R3:R66" si="0">SUM(T3:U3)</f>
        <v>0</v>
      </c>
      <c r="T3" s="37">
        <v>0</v>
      </c>
      <c r="U3" s="16">
        <v>0</v>
      </c>
      <c r="V3" s="52" t="s">
        <v>669</v>
      </c>
      <c r="W3"/>
      <c r="X3"/>
    </row>
    <row r="4" spans="1:24" x14ac:dyDescent="0.25">
      <c r="A4" s="13">
        <v>3</v>
      </c>
      <c r="B4" s="13" t="s">
        <v>236</v>
      </c>
      <c r="C4" s="13">
        <v>1997</v>
      </c>
      <c r="D4" s="13" t="s">
        <v>237</v>
      </c>
      <c r="E4" s="13" t="s">
        <v>239</v>
      </c>
      <c r="F4" s="13" t="s">
        <v>28</v>
      </c>
      <c r="G4" s="20" t="s">
        <v>605</v>
      </c>
      <c r="H4" s="21">
        <v>0</v>
      </c>
      <c r="I4" s="14">
        <v>0</v>
      </c>
      <c r="J4" s="15">
        <v>0</v>
      </c>
      <c r="K4" s="30">
        <v>0</v>
      </c>
      <c r="L4" s="17">
        <v>0</v>
      </c>
      <c r="M4" s="23">
        <v>0</v>
      </c>
      <c r="N4" s="33">
        <v>0</v>
      </c>
      <c r="O4" s="64">
        <v>1</v>
      </c>
      <c r="P4" s="19">
        <v>0</v>
      </c>
      <c r="Q4" s="18">
        <v>0</v>
      </c>
      <c r="R4" s="62">
        <f t="shared" si="0"/>
        <v>0</v>
      </c>
      <c r="T4" s="37">
        <v>0</v>
      </c>
      <c r="U4" s="16">
        <v>0</v>
      </c>
      <c r="V4" s="4" t="s">
        <v>670</v>
      </c>
      <c r="W4"/>
      <c r="X4"/>
    </row>
    <row r="5" spans="1:24" x14ac:dyDescent="0.25">
      <c r="A5" s="13">
        <v>4</v>
      </c>
      <c r="B5" s="13" t="s">
        <v>240</v>
      </c>
      <c r="C5" s="13">
        <v>2014</v>
      </c>
      <c r="D5" s="13" t="s">
        <v>91</v>
      </c>
      <c r="E5" s="13" t="s">
        <v>30</v>
      </c>
      <c r="F5" s="13" t="s">
        <v>27</v>
      </c>
      <c r="G5" s="20" t="s">
        <v>606</v>
      </c>
      <c r="H5" s="21">
        <v>0</v>
      </c>
      <c r="I5" s="14">
        <v>0</v>
      </c>
      <c r="J5" s="15">
        <v>0</v>
      </c>
      <c r="K5" s="30">
        <v>0</v>
      </c>
      <c r="L5" s="17">
        <v>0</v>
      </c>
      <c r="M5" s="23">
        <v>0</v>
      </c>
      <c r="N5" s="33">
        <v>0</v>
      </c>
      <c r="O5" s="64">
        <v>0</v>
      </c>
      <c r="P5" s="19">
        <v>1</v>
      </c>
      <c r="Q5" s="18">
        <v>0</v>
      </c>
      <c r="R5" s="62">
        <f t="shared" si="0"/>
        <v>0</v>
      </c>
      <c r="T5" s="37">
        <v>0</v>
      </c>
      <c r="U5" s="16">
        <v>0</v>
      </c>
      <c r="V5" s="53" t="s">
        <v>671</v>
      </c>
      <c r="W5"/>
      <c r="X5"/>
    </row>
    <row r="6" spans="1:24" x14ac:dyDescent="0.25">
      <c r="A6" s="13">
        <v>5</v>
      </c>
      <c r="B6" s="13" t="s">
        <v>504</v>
      </c>
      <c r="C6" s="13">
        <v>2009</v>
      </c>
      <c r="D6" s="13" t="s">
        <v>487</v>
      </c>
      <c r="E6" s="13" t="s">
        <v>116</v>
      </c>
      <c r="F6" s="13" t="s">
        <v>28</v>
      </c>
      <c r="G6" s="20" t="s">
        <v>607</v>
      </c>
      <c r="H6" s="21">
        <v>1</v>
      </c>
      <c r="I6" s="14">
        <v>0</v>
      </c>
      <c r="J6" s="15">
        <v>0</v>
      </c>
      <c r="K6" s="30">
        <v>0</v>
      </c>
      <c r="L6" s="17">
        <v>0</v>
      </c>
      <c r="M6" s="23">
        <v>0</v>
      </c>
      <c r="N6" s="33">
        <v>0</v>
      </c>
      <c r="O6" s="64">
        <v>0</v>
      </c>
      <c r="P6" s="19">
        <v>0</v>
      </c>
      <c r="Q6" s="18">
        <v>0</v>
      </c>
      <c r="R6" s="62">
        <f t="shared" si="0"/>
        <v>0</v>
      </c>
      <c r="T6" s="37">
        <v>0</v>
      </c>
      <c r="U6" s="16">
        <v>0</v>
      </c>
      <c r="V6" s="54" t="s">
        <v>673</v>
      </c>
      <c r="W6"/>
      <c r="X6"/>
    </row>
    <row r="7" spans="1:24" x14ac:dyDescent="0.25">
      <c r="A7" s="13">
        <v>6</v>
      </c>
      <c r="B7" s="13" t="s">
        <v>251</v>
      </c>
      <c r="C7" s="13">
        <v>2020</v>
      </c>
      <c r="D7" s="13" t="s">
        <v>252</v>
      </c>
      <c r="E7" s="13" t="s">
        <v>180</v>
      </c>
      <c r="F7" s="13" t="s">
        <v>189</v>
      </c>
      <c r="G7" s="20" t="s">
        <v>652</v>
      </c>
      <c r="H7" s="21">
        <v>0</v>
      </c>
      <c r="I7" s="14">
        <v>1</v>
      </c>
      <c r="J7" s="15">
        <v>0</v>
      </c>
      <c r="K7" s="30">
        <v>1</v>
      </c>
      <c r="L7" s="17">
        <v>1</v>
      </c>
      <c r="M7" s="23">
        <v>0</v>
      </c>
      <c r="N7" s="33">
        <v>0</v>
      </c>
      <c r="O7" s="64">
        <v>0</v>
      </c>
      <c r="P7" s="19">
        <v>0</v>
      </c>
      <c r="Q7" s="18">
        <v>0</v>
      </c>
      <c r="R7" s="62">
        <f t="shared" si="0"/>
        <v>0</v>
      </c>
      <c r="T7" s="37">
        <v>0</v>
      </c>
      <c r="U7" s="16">
        <v>0</v>
      </c>
      <c r="V7" s="55" t="s">
        <v>674</v>
      </c>
      <c r="W7"/>
      <c r="X7"/>
    </row>
    <row r="8" spans="1:24" x14ac:dyDescent="0.25">
      <c r="A8" s="13">
        <v>7</v>
      </c>
      <c r="B8" s="13" t="s">
        <v>520</v>
      </c>
      <c r="C8" s="13">
        <v>2015</v>
      </c>
      <c r="D8" s="13" t="s">
        <v>521</v>
      </c>
      <c r="E8" s="13" t="s">
        <v>230</v>
      </c>
      <c r="F8" s="13" t="s">
        <v>28</v>
      </c>
      <c r="G8" s="20" t="s">
        <v>604</v>
      </c>
      <c r="H8" s="21">
        <v>1</v>
      </c>
      <c r="I8" s="14">
        <v>1</v>
      </c>
      <c r="J8" s="15">
        <v>0</v>
      </c>
      <c r="K8" s="30">
        <v>0</v>
      </c>
      <c r="L8" s="17">
        <v>0</v>
      </c>
      <c r="M8" s="23">
        <v>0</v>
      </c>
      <c r="N8" s="33">
        <v>0</v>
      </c>
      <c r="O8" s="64">
        <v>0</v>
      </c>
      <c r="P8" s="19">
        <v>0</v>
      </c>
      <c r="Q8" s="18">
        <v>0</v>
      </c>
      <c r="R8" s="62">
        <f t="shared" si="0"/>
        <v>0</v>
      </c>
      <c r="T8" s="37">
        <v>0</v>
      </c>
      <c r="U8" s="16">
        <v>0</v>
      </c>
      <c r="V8" s="56" t="s">
        <v>672</v>
      </c>
      <c r="W8"/>
      <c r="X8"/>
    </row>
    <row r="9" spans="1:24" x14ac:dyDescent="0.25">
      <c r="A9" s="13">
        <v>8</v>
      </c>
      <c r="B9" s="13" t="s">
        <v>566</v>
      </c>
      <c r="C9" s="13">
        <v>2019</v>
      </c>
      <c r="D9" s="13" t="s">
        <v>569</v>
      </c>
      <c r="E9" s="13" t="s">
        <v>116</v>
      </c>
      <c r="F9" s="13" t="s">
        <v>28</v>
      </c>
      <c r="G9" s="20" t="s">
        <v>604</v>
      </c>
      <c r="H9" s="21">
        <v>1</v>
      </c>
      <c r="I9" s="14">
        <v>1</v>
      </c>
      <c r="J9" s="15">
        <v>0</v>
      </c>
      <c r="K9" s="30">
        <v>0</v>
      </c>
      <c r="L9" s="17">
        <v>0</v>
      </c>
      <c r="M9" s="23">
        <v>1</v>
      </c>
      <c r="N9" s="33">
        <v>0</v>
      </c>
      <c r="O9" s="64">
        <v>0</v>
      </c>
      <c r="P9" s="19">
        <v>0</v>
      </c>
      <c r="Q9" s="18">
        <v>0</v>
      </c>
      <c r="R9" s="62">
        <f t="shared" si="0"/>
        <v>0</v>
      </c>
      <c r="T9" s="37">
        <v>0</v>
      </c>
      <c r="U9" s="16">
        <v>0</v>
      </c>
      <c r="V9" s="57" t="s">
        <v>675</v>
      </c>
      <c r="W9"/>
      <c r="X9"/>
    </row>
    <row r="10" spans="1:24" x14ac:dyDescent="0.25">
      <c r="A10" s="13">
        <v>9</v>
      </c>
      <c r="B10" s="13" t="s">
        <v>281</v>
      </c>
      <c r="C10" s="13">
        <v>2021</v>
      </c>
      <c r="D10" s="13" t="s">
        <v>283</v>
      </c>
      <c r="E10" s="13" t="s">
        <v>30</v>
      </c>
      <c r="F10" s="13" t="s">
        <v>27</v>
      </c>
      <c r="G10" s="20" t="s">
        <v>606</v>
      </c>
      <c r="H10" s="21">
        <v>0</v>
      </c>
      <c r="I10" s="14">
        <v>0</v>
      </c>
      <c r="J10" s="15">
        <v>0</v>
      </c>
      <c r="K10" s="30">
        <v>0</v>
      </c>
      <c r="L10" s="17">
        <v>0</v>
      </c>
      <c r="M10" s="23">
        <v>0</v>
      </c>
      <c r="N10" s="33">
        <v>0</v>
      </c>
      <c r="O10" s="64">
        <v>0</v>
      </c>
      <c r="P10" s="19">
        <v>1</v>
      </c>
      <c r="Q10" s="18">
        <v>0</v>
      </c>
      <c r="R10" s="62">
        <f t="shared" si="0"/>
        <v>0</v>
      </c>
      <c r="T10" s="37">
        <v>0</v>
      </c>
      <c r="U10" s="16">
        <v>0</v>
      </c>
      <c r="V10" s="34" t="s">
        <v>676</v>
      </c>
      <c r="W10"/>
      <c r="X10"/>
    </row>
    <row r="11" spans="1:24" x14ac:dyDescent="0.25">
      <c r="A11" s="13">
        <v>10</v>
      </c>
      <c r="B11" s="13" t="s">
        <v>61</v>
      </c>
      <c r="C11" s="13">
        <v>2016</v>
      </c>
      <c r="D11" s="13" t="s">
        <v>5</v>
      </c>
      <c r="E11" s="13" t="s">
        <v>30</v>
      </c>
      <c r="F11" s="13" t="s">
        <v>27</v>
      </c>
      <c r="G11" s="20" t="s">
        <v>603</v>
      </c>
      <c r="H11" s="21">
        <v>0</v>
      </c>
      <c r="I11" s="14">
        <v>1</v>
      </c>
      <c r="J11" s="15">
        <v>0</v>
      </c>
      <c r="K11" s="30">
        <v>0</v>
      </c>
      <c r="L11" s="17">
        <v>0</v>
      </c>
      <c r="M11" s="23">
        <v>0</v>
      </c>
      <c r="N11" s="33">
        <v>0</v>
      </c>
      <c r="O11" s="64">
        <v>0</v>
      </c>
      <c r="P11" s="19">
        <v>0</v>
      </c>
      <c r="Q11" s="18">
        <v>0</v>
      </c>
      <c r="R11" s="62">
        <f t="shared" si="0"/>
        <v>0</v>
      </c>
      <c r="T11" s="37">
        <v>0</v>
      </c>
      <c r="U11" s="16">
        <v>0</v>
      </c>
      <c r="V11" s="58" t="s">
        <v>678</v>
      </c>
      <c r="W11"/>
      <c r="X11"/>
    </row>
    <row r="12" spans="1:24" x14ac:dyDescent="0.25">
      <c r="A12" s="13">
        <v>11</v>
      </c>
      <c r="B12" s="13" t="s">
        <v>153</v>
      </c>
      <c r="C12" s="13">
        <v>1999</v>
      </c>
      <c r="D12" s="13" t="s">
        <v>154</v>
      </c>
      <c r="E12" s="13" t="s">
        <v>30</v>
      </c>
      <c r="F12" s="13" t="s">
        <v>27</v>
      </c>
      <c r="G12" s="20" t="s">
        <v>603</v>
      </c>
      <c r="H12" s="21">
        <v>0</v>
      </c>
      <c r="I12" s="14">
        <v>1</v>
      </c>
      <c r="J12" s="15">
        <v>0</v>
      </c>
      <c r="K12" s="30">
        <v>0</v>
      </c>
      <c r="L12" s="17">
        <v>0</v>
      </c>
      <c r="M12" s="23">
        <v>0</v>
      </c>
      <c r="N12" s="33">
        <v>0</v>
      </c>
      <c r="O12" s="64">
        <v>0</v>
      </c>
      <c r="P12" s="19">
        <v>0</v>
      </c>
      <c r="Q12" s="18">
        <v>0</v>
      </c>
      <c r="R12" s="62">
        <f t="shared" si="0"/>
        <v>0</v>
      </c>
      <c r="T12" s="37">
        <v>0</v>
      </c>
      <c r="U12" s="16">
        <v>0</v>
      </c>
      <c r="V12" s="59" t="s">
        <v>745</v>
      </c>
      <c r="W12"/>
      <c r="X12"/>
    </row>
    <row r="13" spans="1:24" x14ac:dyDescent="0.25">
      <c r="A13" s="13">
        <v>12</v>
      </c>
      <c r="B13" s="13" t="s">
        <v>152</v>
      </c>
      <c r="C13" s="13">
        <v>2004</v>
      </c>
      <c r="D13" s="13" t="s">
        <v>183</v>
      </c>
      <c r="E13" s="13" t="s">
        <v>185</v>
      </c>
      <c r="F13" s="13" t="s">
        <v>28</v>
      </c>
      <c r="G13" s="20" t="s">
        <v>608</v>
      </c>
      <c r="H13" s="21">
        <v>0</v>
      </c>
      <c r="I13" s="14">
        <v>0</v>
      </c>
      <c r="J13" s="15">
        <v>0</v>
      </c>
      <c r="K13" s="30">
        <v>0</v>
      </c>
      <c r="L13" s="17">
        <v>0</v>
      </c>
      <c r="M13" s="23">
        <v>0</v>
      </c>
      <c r="N13" s="33">
        <v>0</v>
      </c>
      <c r="O13" s="64">
        <v>1</v>
      </c>
      <c r="P13" s="19">
        <v>0</v>
      </c>
      <c r="Q13" s="18">
        <v>0</v>
      </c>
      <c r="R13" s="62">
        <f t="shared" si="0"/>
        <v>0</v>
      </c>
      <c r="T13" s="37">
        <v>0</v>
      </c>
      <c r="U13" s="16">
        <v>0</v>
      </c>
      <c r="V13" s="67" t="s">
        <v>746</v>
      </c>
      <c r="W13"/>
      <c r="X13"/>
    </row>
    <row r="14" spans="1:24" x14ac:dyDescent="0.25">
      <c r="A14" s="13">
        <v>13</v>
      </c>
      <c r="B14" s="13" t="s">
        <v>485</v>
      </c>
      <c r="C14" s="13">
        <v>2009</v>
      </c>
      <c r="D14" s="13" t="s">
        <v>487</v>
      </c>
      <c r="E14" s="13" t="s">
        <v>116</v>
      </c>
      <c r="F14" s="13" t="s">
        <v>28</v>
      </c>
      <c r="G14" s="20" t="s">
        <v>605</v>
      </c>
      <c r="H14" s="21">
        <v>0</v>
      </c>
      <c r="I14" s="14">
        <v>0</v>
      </c>
      <c r="J14" s="15">
        <v>0</v>
      </c>
      <c r="K14" s="30">
        <v>0</v>
      </c>
      <c r="L14" s="17">
        <v>0</v>
      </c>
      <c r="M14" s="23">
        <v>1</v>
      </c>
      <c r="N14" s="33">
        <v>0</v>
      </c>
      <c r="O14" s="64">
        <v>0</v>
      </c>
      <c r="P14" s="19">
        <v>0</v>
      </c>
      <c r="Q14" s="18">
        <v>0</v>
      </c>
      <c r="R14" s="62">
        <f t="shared" si="0"/>
        <v>0</v>
      </c>
      <c r="T14" s="37">
        <v>0</v>
      </c>
      <c r="U14" s="16">
        <v>0</v>
      </c>
      <c r="W14"/>
      <c r="X14"/>
    </row>
    <row r="15" spans="1:24" x14ac:dyDescent="0.25">
      <c r="A15" s="13">
        <v>14</v>
      </c>
      <c r="B15" s="13" t="s">
        <v>64</v>
      </c>
      <c r="C15" s="13">
        <v>2010</v>
      </c>
      <c r="D15" s="13" t="s">
        <v>132</v>
      </c>
      <c r="E15" s="13" t="s">
        <v>116</v>
      </c>
      <c r="F15" s="13" t="s">
        <v>27</v>
      </c>
      <c r="G15" s="20" t="s">
        <v>641</v>
      </c>
      <c r="H15" s="21">
        <v>1</v>
      </c>
      <c r="I15" s="14">
        <v>1</v>
      </c>
      <c r="J15" s="15">
        <v>1</v>
      </c>
      <c r="K15" s="30">
        <v>0</v>
      </c>
      <c r="L15" s="17">
        <v>0</v>
      </c>
      <c r="M15" s="23">
        <v>0</v>
      </c>
      <c r="N15" s="33">
        <v>0</v>
      </c>
      <c r="O15" s="64">
        <v>0</v>
      </c>
      <c r="P15" s="19">
        <v>0</v>
      </c>
      <c r="Q15" s="18">
        <v>0</v>
      </c>
      <c r="R15" s="62">
        <f t="shared" si="0"/>
        <v>0</v>
      </c>
      <c r="T15" s="37">
        <v>0</v>
      </c>
      <c r="U15" s="16">
        <v>0</v>
      </c>
      <c r="V15" s="60" t="s">
        <v>747</v>
      </c>
      <c r="W15"/>
      <c r="X15"/>
    </row>
    <row r="16" spans="1:24" x14ac:dyDescent="0.25">
      <c r="A16" s="13">
        <v>15</v>
      </c>
      <c r="B16" s="13" t="s">
        <v>36</v>
      </c>
      <c r="C16" s="13">
        <v>2017</v>
      </c>
      <c r="D16" s="13" t="s">
        <v>39</v>
      </c>
      <c r="E16" s="13" t="s">
        <v>30</v>
      </c>
      <c r="F16" s="13" t="s">
        <v>27</v>
      </c>
      <c r="G16" s="20" t="s">
        <v>604</v>
      </c>
      <c r="H16" s="21">
        <v>1</v>
      </c>
      <c r="I16" s="14">
        <v>1</v>
      </c>
      <c r="J16" s="15">
        <v>0</v>
      </c>
      <c r="K16" s="30">
        <v>0</v>
      </c>
      <c r="L16" s="17">
        <v>0</v>
      </c>
      <c r="M16" s="23">
        <v>0</v>
      </c>
      <c r="N16" s="33">
        <v>0</v>
      </c>
      <c r="O16" s="64">
        <v>0</v>
      </c>
      <c r="P16" s="19">
        <v>0</v>
      </c>
      <c r="Q16" s="18">
        <v>0</v>
      </c>
      <c r="R16" s="62">
        <f t="shared" si="0"/>
        <v>0</v>
      </c>
      <c r="T16" s="37">
        <v>0</v>
      </c>
      <c r="U16" s="16">
        <v>0</v>
      </c>
      <c r="W16"/>
      <c r="X16"/>
    </row>
    <row r="17" spans="1:24" x14ac:dyDescent="0.25">
      <c r="A17" s="23">
        <v>16</v>
      </c>
      <c r="B17" s="23" t="s">
        <v>258</v>
      </c>
      <c r="C17" s="23">
        <v>2020</v>
      </c>
      <c r="D17" s="23" t="s">
        <v>260</v>
      </c>
      <c r="E17" s="23" t="s">
        <v>17</v>
      </c>
      <c r="F17" s="23" t="s">
        <v>189</v>
      </c>
      <c r="G17" s="24" t="s">
        <v>644</v>
      </c>
      <c r="H17" s="21">
        <v>0</v>
      </c>
      <c r="I17" s="14">
        <v>0</v>
      </c>
      <c r="J17" s="15">
        <v>0</v>
      </c>
      <c r="K17" s="30">
        <v>1</v>
      </c>
      <c r="L17" s="17">
        <v>0</v>
      </c>
      <c r="M17" s="23">
        <v>0</v>
      </c>
      <c r="N17" s="33">
        <v>0</v>
      </c>
      <c r="O17" s="64">
        <v>0</v>
      </c>
      <c r="P17" s="19">
        <v>0</v>
      </c>
      <c r="Q17" s="18">
        <v>0</v>
      </c>
      <c r="R17" s="62">
        <f t="shared" si="0"/>
        <v>0</v>
      </c>
      <c r="T17" s="37">
        <v>0</v>
      </c>
      <c r="U17" s="16">
        <v>0</v>
      </c>
      <c r="V17"/>
      <c r="W17"/>
      <c r="X17"/>
    </row>
    <row r="18" spans="1:24" x14ac:dyDescent="0.25">
      <c r="A18" s="13">
        <v>17</v>
      </c>
      <c r="B18" s="13" t="s">
        <v>201</v>
      </c>
      <c r="C18" s="13">
        <v>2020</v>
      </c>
      <c r="D18" s="13" t="s">
        <v>202</v>
      </c>
      <c r="E18" s="13" t="s">
        <v>230</v>
      </c>
      <c r="F18" s="13" t="s">
        <v>28</v>
      </c>
      <c r="G18" s="20" t="s">
        <v>605</v>
      </c>
      <c r="H18" s="21">
        <v>0</v>
      </c>
      <c r="I18" s="14">
        <v>0</v>
      </c>
      <c r="J18" s="15">
        <v>0</v>
      </c>
      <c r="K18" s="30">
        <v>0</v>
      </c>
      <c r="L18" s="17">
        <v>0</v>
      </c>
      <c r="M18" s="23">
        <v>1</v>
      </c>
      <c r="N18" s="33">
        <v>0</v>
      </c>
      <c r="O18" s="64">
        <v>0</v>
      </c>
      <c r="P18" s="19">
        <v>0</v>
      </c>
      <c r="Q18" s="18">
        <v>0</v>
      </c>
      <c r="R18" s="62">
        <f t="shared" si="0"/>
        <v>0</v>
      </c>
      <c r="T18" s="37">
        <v>0</v>
      </c>
      <c r="U18" s="16">
        <v>0</v>
      </c>
      <c r="V18"/>
      <c r="W18"/>
      <c r="X18"/>
    </row>
    <row r="19" spans="1:24" x14ac:dyDescent="0.25">
      <c r="A19" s="23">
        <v>18</v>
      </c>
      <c r="B19" s="23" t="s">
        <v>445</v>
      </c>
      <c r="C19" s="23">
        <v>2017</v>
      </c>
      <c r="D19" s="23" t="s">
        <v>446</v>
      </c>
      <c r="E19" s="23" t="s">
        <v>17</v>
      </c>
      <c r="F19" s="23" t="s">
        <v>28</v>
      </c>
      <c r="G19" s="24" t="s">
        <v>655</v>
      </c>
      <c r="H19" s="21">
        <v>1</v>
      </c>
      <c r="I19" s="14">
        <v>1</v>
      </c>
      <c r="J19" s="15">
        <v>0</v>
      </c>
      <c r="K19" s="30">
        <v>1</v>
      </c>
      <c r="L19" s="17">
        <v>0</v>
      </c>
      <c r="M19" s="23">
        <v>0</v>
      </c>
      <c r="N19" s="33">
        <v>0</v>
      </c>
      <c r="O19" s="64">
        <v>0</v>
      </c>
      <c r="P19" s="19">
        <v>0</v>
      </c>
      <c r="Q19" s="18">
        <v>0</v>
      </c>
      <c r="R19" s="62">
        <f t="shared" si="0"/>
        <v>0</v>
      </c>
      <c r="T19" s="37">
        <v>0</v>
      </c>
      <c r="U19" s="16">
        <v>0</v>
      </c>
      <c r="V19"/>
      <c r="W19"/>
      <c r="X19"/>
    </row>
    <row r="20" spans="1:24" x14ac:dyDescent="0.25">
      <c r="A20" s="23">
        <v>19</v>
      </c>
      <c r="B20" s="23" t="s">
        <v>286</v>
      </c>
      <c r="C20" s="23">
        <v>2008</v>
      </c>
      <c r="D20" s="23" t="s">
        <v>287</v>
      </c>
      <c r="E20" s="23" t="s">
        <v>17</v>
      </c>
      <c r="F20" s="23" t="s">
        <v>28</v>
      </c>
      <c r="G20" s="24" t="s">
        <v>619</v>
      </c>
      <c r="H20" s="21">
        <v>0</v>
      </c>
      <c r="I20" s="14">
        <v>0</v>
      </c>
      <c r="J20" s="15">
        <v>1</v>
      </c>
      <c r="K20" s="30">
        <v>0</v>
      </c>
      <c r="L20" s="17">
        <v>0</v>
      </c>
      <c r="M20" s="23">
        <v>0</v>
      </c>
      <c r="N20" s="33">
        <v>0</v>
      </c>
      <c r="O20" s="64">
        <v>0</v>
      </c>
      <c r="P20" s="19">
        <v>0</v>
      </c>
      <c r="Q20" s="18">
        <v>0</v>
      </c>
      <c r="R20" s="62">
        <f t="shared" si="0"/>
        <v>0</v>
      </c>
      <c r="T20" s="37">
        <v>0</v>
      </c>
      <c r="U20" s="16">
        <v>0</v>
      </c>
      <c r="V20"/>
      <c r="W20"/>
      <c r="X20"/>
    </row>
    <row r="21" spans="1:24" x14ac:dyDescent="0.25">
      <c r="A21" s="13">
        <v>20</v>
      </c>
      <c r="B21" s="13" t="s">
        <v>256</v>
      </c>
      <c r="C21" s="13">
        <v>2020</v>
      </c>
      <c r="D21" s="13" t="s">
        <v>254</v>
      </c>
      <c r="E21" s="13" t="s">
        <v>116</v>
      </c>
      <c r="F21" s="13" t="s">
        <v>28</v>
      </c>
      <c r="G21" s="20" t="s">
        <v>644</v>
      </c>
      <c r="H21" s="21">
        <v>0</v>
      </c>
      <c r="I21" s="14">
        <v>0</v>
      </c>
      <c r="J21" s="15">
        <v>0</v>
      </c>
      <c r="K21" s="30">
        <v>1</v>
      </c>
      <c r="L21" s="17">
        <v>0</v>
      </c>
      <c r="M21" s="23">
        <v>0</v>
      </c>
      <c r="N21" s="33">
        <v>0</v>
      </c>
      <c r="O21" s="64">
        <v>0</v>
      </c>
      <c r="P21" s="19">
        <v>0</v>
      </c>
      <c r="Q21" s="18">
        <v>0</v>
      </c>
      <c r="R21" s="62">
        <f t="shared" si="0"/>
        <v>0</v>
      </c>
      <c r="T21" s="37">
        <v>0</v>
      </c>
      <c r="U21" s="16">
        <v>0</v>
      </c>
      <c r="V21"/>
      <c r="W21"/>
      <c r="X21"/>
    </row>
    <row r="22" spans="1:24" x14ac:dyDescent="0.25">
      <c r="A22" s="13">
        <v>21</v>
      </c>
      <c r="B22" s="25" t="s">
        <v>111</v>
      </c>
      <c r="C22" s="13">
        <v>2000</v>
      </c>
      <c r="D22" s="13" t="s">
        <v>134</v>
      </c>
      <c r="E22" s="13" t="s">
        <v>112</v>
      </c>
      <c r="F22" s="13" t="s">
        <v>137</v>
      </c>
      <c r="G22" s="20" t="s">
        <v>738</v>
      </c>
      <c r="H22" s="21">
        <v>1</v>
      </c>
      <c r="I22" s="14">
        <v>0</v>
      </c>
      <c r="J22" s="15">
        <v>0</v>
      </c>
      <c r="K22" s="30">
        <v>0</v>
      </c>
      <c r="L22" s="17">
        <v>0</v>
      </c>
      <c r="M22" s="23">
        <v>0</v>
      </c>
      <c r="N22" s="33">
        <v>1</v>
      </c>
      <c r="O22" s="64">
        <v>1</v>
      </c>
      <c r="P22" s="19">
        <v>0</v>
      </c>
      <c r="Q22" s="18">
        <v>0</v>
      </c>
      <c r="R22" s="62">
        <f t="shared" si="0"/>
        <v>0</v>
      </c>
      <c r="T22" s="37">
        <v>0</v>
      </c>
      <c r="U22" s="16">
        <v>0</v>
      </c>
      <c r="V22"/>
      <c r="W22"/>
      <c r="X22"/>
    </row>
    <row r="23" spans="1:24" x14ac:dyDescent="0.25">
      <c r="A23" s="13">
        <v>22</v>
      </c>
      <c r="B23" s="25" t="s">
        <v>111</v>
      </c>
      <c r="C23" s="13">
        <v>2006</v>
      </c>
      <c r="D23" s="13" t="s">
        <v>472</v>
      </c>
      <c r="E23" s="13" t="s">
        <v>112</v>
      </c>
      <c r="F23" s="13" t="s">
        <v>137</v>
      </c>
      <c r="G23" s="20" t="s">
        <v>605</v>
      </c>
      <c r="H23" s="21">
        <v>0</v>
      </c>
      <c r="I23" s="14">
        <v>0</v>
      </c>
      <c r="J23" s="15">
        <v>0</v>
      </c>
      <c r="K23" s="30">
        <v>0</v>
      </c>
      <c r="L23" s="17">
        <v>0</v>
      </c>
      <c r="M23" s="23">
        <v>1</v>
      </c>
      <c r="N23" s="33">
        <v>0</v>
      </c>
      <c r="O23" s="64">
        <v>0</v>
      </c>
      <c r="P23" s="19">
        <v>0</v>
      </c>
      <c r="Q23" s="18">
        <v>0</v>
      </c>
      <c r="R23" s="62">
        <f t="shared" si="0"/>
        <v>0</v>
      </c>
      <c r="T23" s="37">
        <v>0</v>
      </c>
      <c r="U23" s="16">
        <v>0</v>
      </c>
      <c r="V23"/>
      <c r="W23"/>
      <c r="X23"/>
    </row>
    <row r="24" spans="1:24" x14ac:dyDescent="0.25">
      <c r="A24" s="13">
        <v>23</v>
      </c>
      <c r="B24" s="13" t="s">
        <v>23</v>
      </c>
      <c r="C24" s="13">
        <v>2020</v>
      </c>
      <c r="D24" s="13" t="s">
        <v>67</v>
      </c>
      <c r="E24" s="13" t="s">
        <v>17</v>
      </c>
      <c r="F24" s="13" t="s">
        <v>28</v>
      </c>
      <c r="G24" s="20" t="s">
        <v>647</v>
      </c>
      <c r="H24" s="21">
        <v>0</v>
      </c>
      <c r="I24" s="14">
        <v>1</v>
      </c>
      <c r="J24" s="15">
        <v>0</v>
      </c>
      <c r="K24" s="30">
        <v>1</v>
      </c>
      <c r="L24" s="17">
        <v>0</v>
      </c>
      <c r="M24" s="23">
        <v>0</v>
      </c>
      <c r="N24" s="33">
        <v>0</v>
      </c>
      <c r="O24" s="64">
        <v>0</v>
      </c>
      <c r="P24" s="19">
        <v>0</v>
      </c>
      <c r="Q24" s="18">
        <v>0</v>
      </c>
      <c r="R24" s="62">
        <f t="shared" si="0"/>
        <v>0</v>
      </c>
      <c r="T24" s="37">
        <v>0</v>
      </c>
      <c r="U24" s="16">
        <v>0</v>
      </c>
      <c r="V24"/>
      <c r="W24"/>
      <c r="X24"/>
    </row>
    <row r="25" spans="1:24" x14ac:dyDescent="0.25">
      <c r="A25" s="13">
        <v>24</v>
      </c>
      <c r="B25" s="13" t="s">
        <v>289</v>
      </c>
      <c r="C25" s="13">
        <v>2012</v>
      </c>
      <c r="D25" s="13" t="s">
        <v>291</v>
      </c>
      <c r="E25" s="13" t="s">
        <v>30</v>
      </c>
      <c r="F25" s="13" t="s">
        <v>27</v>
      </c>
      <c r="G25" s="20" t="s">
        <v>605</v>
      </c>
      <c r="H25" s="21">
        <v>0</v>
      </c>
      <c r="I25" s="14">
        <v>0</v>
      </c>
      <c r="J25" s="15">
        <v>0</v>
      </c>
      <c r="K25" s="30">
        <v>0</v>
      </c>
      <c r="L25" s="17">
        <v>0</v>
      </c>
      <c r="M25" s="23">
        <v>1</v>
      </c>
      <c r="N25" s="33">
        <v>0</v>
      </c>
      <c r="O25" s="64">
        <v>0</v>
      </c>
      <c r="P25" s="19">
        <v>0</v>
      </c>
      <c r="Q25" s="18">
        <v>0</v>
      </c>
      <c r="R25" s="62">
        <f t="shared" si="0"/>
        <v>0</v>
      </c>
      <c r="T25" s="37">
        <v>0</v>
      </c>
      <c r="U25" s="16">
        <v>0</v>
      </c>
      <c r="V25"/>
      <c r="W25"/>
      <c r="X25"/>
    </row>
    <row r="26" spans="1:24" x14ac:dyDescent="0.25">
      <c r="A26" s="13">
        <v>25</v>
      </c>
      <c r="B26" s="13" t="s">
        <v>204</v>
      </c>
      <c r="C26" s="13">
        <v>2012</v>
      </c>
      <c r="D26" s="13" t="s">
        <v>205</v>
      </c>
      <c r="E26" s="13" t="s">
        <v>180</v>
      </c>
      <c r="F26" s="13" t="s">
        <v>28</v>
      </c>
      <c r="G26" s="20" t="s">
        <v>617</v>
      </c>
      <c r="H26" s="21">
        <v>0</v>
      </c>
      <c r="I26" s="14">
        <v>0</v>
      </c>
      <c r="J26" s="15">
        <v>0</v>
      </c>
      <c r="K26" s="30">
        <v>0</v>
      </c>
      <c r="L26" s="17">
        <v>1</v>
      </c>
      <c r="M26" s="23">
        <v>0</v>
      </c>
      <c r="N26" s="33">
        <v>0</v>
      </c>
      <c r="O26" s="64">
        <v>0</v>
      </c>
      <c r="P26" s="19">
        <v>0</v>
      </c>
      <c r="Q26" s="18">
        <v>0</v>
      </c>
      <c r="R26" s="62">
        <f t="shared" si="0"/>
        <v>0</v>
      </c>
      <c r="T26" s="37">
        <v>0</v>
      </c>
      <c r="U26" s="16">
        <v>0</v>
      </c>
      <c r="V26"/>
      <c r="W26"/>
      <c r="X26"/>
    </row>
    <row r="27" spans="1:24" x14ac:dyDescent="0.25">
      <c r="A27" s="13">
        <v>26</v>
      </c>
      <c r="B27" s="13" t="s">
        <v>344</v>
      </c>
      <c r="C27" s="13">
        <v>2018</v>
      </c>
      <c r="D27" s="13" t="s">
        <v>337</v>
      </c>
      <c r="E27" s="13" t="s">
        <v>74</v>
      </c>
      <c r="F27" s="13" t="s">
        <v>189</v>
      </c>
      <c r="G27" s="20" t="s">
        <v>695</v>
      </c>
      <c r="H27" s="21">
        <v>1</v>
      </c>
      <c r="I27" s="14">
        <v>1</v>
      </c>
      <c r="J27" s="15">
        <v>0</v>
      </c>
      <c r="K27" s="30">
        <v>0</v>
      </c>
      <c r="L27" s="17">
        <v>0</v>
      </c>
      <c r="M27" s="23">
        <v>0</v>
      </c>
      <c r="N27" s="33">
        <v>0</v>
      </c>
      <c r="O27" s="64">
        <v>0</v>
      </c>
      <c r="P27" s="19">
        <v>0</v>
      </c>
      <c r="Q27" s="18">
        <v>1</v>
      </c>
      <c r="R27" s="62">
        <f t="shared" si="0"/>
        <v>0</v>
      </c>
      <c r="T27" s="37">
        <v>0</v>
      </c>
      <c r="U27" s="16">
        <v>0</v>
      </c>
      <c r="V27"/>
      <c r="W27"/>
      <c r="X27"/>
    </row>
    <row r="28" spans="1:24" x14ac:dyDescent="0.25">
      <c r="A28" s="13">
        <v>27</v>
      </c>
      <c r="B28" s="25" t="s">
        <v>121</v>
      </c>
      <c r="C28" s="13">
        <v>2006</v>
      </c>
      <c r="D28" s="13" t="s">
        <v>123</v>
      </c>
      <c r="E28" s="13" t="s">
        <v>17</v>
      </c>
      <c r="F28" s="13" t="s">
        <v>28</v>
      </c>
      <c r="G28" s="20" t="s">
        <v>692</v>
      </c>
      <c r="H28" s="21">
        <v>0</v>
      </c>
      <c r="I28" s="14">
        <v>0</v>
      </c>
      <c r="J28" s="15">
        <v>0</v>
      </c>
      <c r="K28" s="30">
        <v>1</v>
      </c>
      <c r="L28" s="17">
        <v>0</v>
      </c>
      <c r="M28" s="23">
        <v>0</v>
      </c>
      <c r="N28" s="33">
        <v>1</v>
      </c>
      <c r="O28" s="64">
        <v>0</v>
      </c>
      <c r="P28" s="19">
        <v>0</v>
      </c>
      <c r="Q28" s="18">
        <v>1</v>
      </c>
      <c r="R28" s="62">
        <f t="shared" si="0"/>
        <v>0</v>
      </c>
      <c r="T28" s="37">
        <v>0</v>
      </c>
      <c r="U28" s="16">
        <v>0</v>
      </c>
      <c r="V28"/>
      <c r="W28"/>
      <c r="X28"/>
    </row>
    <row r="29" spans="1:24" x14ac:dyDescent="0.25">
      <c r="A29" s="13">
        <v>28</v>
      </c>
      <c r="B29" s="13" t="s">
        <v>198</v>
      </c>
      <c r="C29" s="13">
        <v>2017</v>
      </c>
      <c r="D29" s="13" t="s">
        <v>199</v>
      </c>
      <c r="E29" s="13" t="s">
        <v>185</v>
      </c>
      <c r="F29" s="13" t="s">
        <v>219</v>
      </c>
      <c r="G29" s="20" t="s">
        <v>619</v>
      </c>
      <c r="H29" s="21">
        <v>0</v>
      </c>
      <c r="I29" s="14">
        <v>0</v>
      </c>
      <c r="J29" s="15">
        <v>1</v>
      </c>
      <c r="K29" s="30">
        <v>0</v>
      </c>
      <c r="L29" s="17">
        <v>0</v>
      </c>
      <c r="M29" s="23">
        <v>0</v>
      </c>
      <c r="N29" s="33">
        <v>0</v>
      </c>
      <c r="O29" s="64">
        <v>0</v>
      </c>
      <c r="P29" s="19">
        <v>0</v>
      </c>
      <c r="Q29" s="18">
        <v>0</v>
      </c>
      <c r="R29" s="62">
        <f t="shared" si="0"/>
        <v>0</v>
      </c>
      <c r="T29" s="37">
        <v>0</v>
      </c>
      <c r="U29" s="16">
        <v>0</v>
      </c>
      <c r="V29"/>
      <c r="W29"/>
      <c r="X29"/>
    </row>
    <row r="30" spans="1:24" x14ac:dyDescent="0.25">
      <c r="A30" s="23">
        <v>29</v>
      </c>
      <c r="B30" s="23" t="s">
        <v>547</v>
      </c>
      <c r="C30" s="23">
        <v>2014</v>
      </c>
      <c r="D30" s="23" t="s">
        <v>548</v>
      </c>
      <c r="E30" s="23" t="s">
        <v>74</v>
      </c>
      <c r="F30" s="23" t="s">
        <v>28</v>
      </c>
      <c r="G30" s="24" t="s">
        <v>664</v>
      </c>
      <c r="H30" s="21">
        <v>1</v>
      </c>
      <c r="I30" s="14">
        <v>0</v>
      </c>
      <c r="J30" s="15">
        <v>0</v>
      </c>
      <c r="K30" s="30">
        <v>1</v>
      </c>
      <c r="L30" s="17">
        <v>0</v>
      </c>
      <c r="M30" s="23">
        <v>0</v>
      </c>
      <c r="N30" s="33">
        <v>0</v>
      </c>
      <c r="O30" s="64">
        <v>0</v>
      </c>
      <c r="P30" s="19">
        <v>0</v>
      </c>
      <c r="Q30" s="18">
        <v>0</v>
      </c>
      <c r="R30" s="62">
        <f t="shared" si="0"/>
        <v>0</v>
      </c>
      <c r="T30" s="37">
        <v>0</v>
      </c>
      <c r="U30" s="16">
        <v>0</v>
      </c>
      <c r="V30"/>
      <c r="W30"/>
      <c r="X30"/>
    </row>
    <row r="31" spans="1:24" x14ac:dyDescent="0.25">
      <c r="A31" s="13">
        <v>30</v>
      </c>
      <c r="B31" s="13" t="s">
        <v>547</v>
      </c>
      <c r="C31" s="13">
        <v>2013</v>
      </c>
      <c r="D31" s="13" t="s">
        <v>548</v>
      </c>
      <c r="E31" s="13" t="s">
        <v>74</v>
      </c>
      <c r="F31" s="13" t="s">
        <v>28</v>
      </c>
      <c r="G31" s="20" t="s">
        <v>611</v>
      </c>
      <c r="H31" s="21">
        <v>0</v>
      </c>
      <c r="I31" s="14">
        <v>0</v>
      </c>
      <c r="J31" s="15">
        <v>0</v>
      </c>
      <c r="K31" s="30">
        <v>0</v>
      </c>
      <c r="L31" s="17">
        <v>0</v>
      </c>
      <c r="M31" s="23">
        <v>0</v>
      </c>
      <c r="N31" s="33">
        <v>0</v>
      </c>
      <c r="O31" s="64">
        <v>0</v>
      </c>
      <c r="P31" s="19">
        <v>0</v>
      </c>
      <c r="Q31" s="18">
        <v>0</v>
      </c>
      <c r="R31" s="62">
        <f t="shared" si="0"/>
        <v>1</v>
      </c>
      <c r="T31" s="37">
        <v>0</v>
      </c>
      <c r="U31" s="16">
        <v>1</v>
      </c>
      <c r="V31"/>
      <c r="W31"/>
      <c r="X31"/>
    </row>
    <row r="32" spans="1:24" x14ac:dyDescent="0.25">
      <c r="A32" s="23">
        <v>31</v>
      </c>
      <c r="B32" s="23" t="s">
        <v>246</v>
      </c>
      <c r="C32" s="23">
        <v>2017</v>
      </c>
      <c r="D32" s="23" t="s">
        <v>248</v>
      </c>
      <c r="E32" s="23" t="s">
        <v>74</v>
      </c>
      <c r="F32" s="23" t="s">
        <v>28</v>
      </c>
      <c r="G32" s="24" t="s">
        <v>657</v>
      </c>
      <c r="H32" s="21">
        <v>1</v>
      </c>
      <c r="I32" s="14">
        <v>0</v>
      </c>
      <c r="J32" s="15">
        <v>0</v>
      </c>
      <c r="K32" s="30">
        <v>1</v>
      </c>
      <c r="L32" s="17">
        <v>0</v>
      </c>
      <c r="M32" s="23">
        <v>0</v>
      </c>
      <c r="N32" s="33">
        <v>0</v>
      </c>
      <c r="O32" s="64">
        <v>0</v>
      </c>
      <c r="P32" s="19">
        <v>0</v>
      </c>
      <c r="Q32" s="18">
        <v>0</v>
      </c>
      <c r="R32" s="62">
        <f t="shared" si="0"/>
        <v>0</v>
      </c>
      <c r="T32" s="37">
        <v>0</v>
      </c>
      <c r="U32" s="16">
        <v>0</v>
      </c>
      <c r="V32"/>
      <c r="W32"/>
      <c r="X32"/>
    </row>
    <row r="33" spans="1:24" x14ac:dyDescent="0.25">
      <c r="A33" s="13">
        <v>32</v>
      </c>
      <c r="B33" s="13" t="s">
        <v>273</v>
      </c>
      <c r="C33" s="13">
        <v>2003</v>
      </c>
      <c r="D33" s="13" t="s">
        <v>275</v>
      </c>
      <c r="E33" s="13" t="s">
        <v>74</v>
      </c>
      <c r="F33" s="13" t="s">
        <v>78</v>
      </c>
      <c r="G33" s="20" t="s">
        <v>604</v>
      </c>
      <c r="H33" s="21">
        <v>1</v>
      </c>
      <c r="I33" s="14">
        <v>1</v>
      </c>
      <c r="J33" s="15">
        <v>0</v>
      </c>
      <c r="K33" s="30">
        <v>0</v>
      </c>
      <c r="L33" s="17">
        <v>0</v>
      </c>
      <c r="M33" s="23">
        <v>0</v>
      </c>
      <c r="N33" s="33">
        <v>0</v>
      </c>
      <c r="O33" s="64">
        <v>0</v>
      </c>
      <c r="P33" s="19">
        <v>0</v>
      </c>
      <c r="Q33" s="18">
        <v>0</v>
      </c>
      <c r="R33" s="62">
        <f t="shared" si="0"/>
        <v>0</v>
      </c>
      <c r="T33" s="37">
        <v>0</v>
      </c>
      <c r="U33" s="16">
        <v>0</v>
      </c>
      <c r="V33"/>
      <c r="W33"/>
      <c r="X33"/>
    </row>
    <row r="34" spans="1:24" x14ac:dyDescent="0.25">
      <c r="A34" s="13">
        <v>33</v>
      </c>
      <c r="B34" s="13" t="s">
        <v>13</v>
      </c>
      <c r="C34" s="13">
        <v>2003</v>
      </c>
      <c r="D34" s="13" t="s">
        <v>52</v>
      </c>
      <c r="E34" s="13" t="s">
        <v>30</v>
      </c>
      <c r="F34" s="13" t="s">
        <v>27</v>
      </c>
      <c r="G34" s="20" t="s">
        <v>607</v>
      </c>
      <c r="H34" s="21">
        <v>1</v>
      </c>
      <c r="I34" s="14">
        <v>0</v>
      </c>
      <c r="J34" s="15">
        <v>0</v>
      </c>
      <c r="K34" s="30">
        <v>0</v>
      </c>
      <c r="L34" s="17">
        <v>0</v>
      </c>
      <c r="M34" s="23">
        <v>0</v>
      </c>
      <c r="N34" s="33">
        <v>0</v>
      </c>
      <c r="O34" s="64">
        <v>0</v>
      </c>
      <c r="P34" s="19">
        <v>0</v>
      </c>
      <c r="Q34" s="18">
        <v>0</v>
      </c>
      <c r="R34" s="62">
        <f t="shared" si="0"/>
        <v>0</v>
      </c>
      <c r="T34" s="37">
        <v>0</v>
      </c>
      <c r="U34" s="16">
        <v>0</v>
      </c>
      <c r="V34"/>
      <c r="W34"/>
      <c r="X34"/>
    </row>
    <row r="35" spans="1:24" x14ac:dyDescent="0.25">
      <c r="A35" s="13">
        <v>34</v>
      </c>
      <c r="B35" s="13" t="s">
        <v>13</v>
      </c>
      <c r="C35" s="13">
        <v>2005</v>
      </c>
      <c r="D35" s="13" t="s">
        <v>52</v>
      </c>
      <c r="E35" s="13" t="s">
        <v>30</v>
      </c>
      <c r="F35" s="13" t="s">
        <v>27</v>
      </c>
      <c r="G35" s="20" t="s">
        <v>607</v>
      </c>
      <c r="H35" s="21">
        <v>1</v>
      </c>
      <c r="I35" s="14">
        <v>0</v>
      </c>
      <c r="J35" s="15">
        <v>0</v>
      </c>
      <c r="K35" s="30">
        <v>0</v>
      </c>
      <c r="L35" s="17">
        <v>0</v>
      </c>
      <c r="M35" s="23">
        <v>0</v>
      </c>
      <c r="N35" s="33">
        <v>0</v>
      </c>
      <c r="O35" s="64">
        <v>0</v>
      </c>
      <c r="P35" s="19">
        <v>0</v>
      </c>
      <c r="Q35" s="18">
        <v>0</v>
      </c>
      <c r="R35" s="62">
        <f t="shared" si="0"/>
        <v>0</v>
      </c>
      <c r="T35" s="37">
        <v>0</v>
      </c>
      <c r="U35" s="16">
        <v>0</v>
      </c>
      <c r="V35"/>
      <c r="W35"/>
      <c r="X35"/>
    </row>
    <row r="36" spans="1:24" x14ac:dyDescent="0.25">
      <c r="A36" s="13">
        <v>35</v>
      </c>
      <c r="B36" s="13" t="s">
        <v>13</v>
      </c>
      <c r="C36" s="13">
        <v>2007</v>
      </c>
      <c r="D36" s="13" t="s">
        <v>52</v>
      </c>
      <c r="E36" s="13" t="s">
        <v>30</v>
      </c>
      <c r="F36" s="13" t="s">
        <v>27</v>
      </c>
      <c r="G36" s="20" t="s">
        <v>621</v>
      </c>
      <c r="H36" s="21">
        <v>1</v>
      </c>
      <c r="I36" s="14">
        <v>0</v>
      </c>
      <c r="J36" s="15">
        <v>1</v>
      </c>
      <c r="K36" s="30">
        <v>0</v>
      </c>
      <c r="L36" s="17">
        <v>0</v>
      </c>
      <c r="M36" s="23">
        <v>0</v>
      </c>
      <c r="N36" s="33">
        <v>0</v>
      </c>
      <c r="O36" s="64">
        <v>0</v>
      </c>
      <c r="P36" s="19">
        <v>0</v>
      </c>
      <c r="Q36" s="18">
        <v>0</v>
      </c>
      <c r="R36" s="62">
        <f t="shared" si="0"/>
        <v>0</v>
      </c>
      <c r="T36" s="37">
        <v>0</v>
      </c>
      <c r="U36" s="16">
        <v>0</v>
      </c>
      <c r="V36"/>
      <c r="W36"/>
      <c r="X36"/>
    </row>
    <row r="37" spans="1:24" ht="30" x14ac:dyDescent="0.25">
      <c r="A37" s="13">
        <v>36</v>
      </c>
      <c r="B37" s="13" t="s">
        <v>56</v>
      </c>
      <c r="C37" s="13">
        <v>2005</v>
      </c>
      <c r="D37" s="26" t="s">
        <v>58</v>
      </c>
      <c r="E37" s="13" t="s">
        <v>17</v>
      </c>
      <c r="F37" s="13" t="s">
        <v>28</v>
      </c>
      <c r="G37" s="20" t="s">
        <v>605</v>
      </c>
      <c r="H37" s="21">
        <v>0</v>
      </c>
      <c r="I37" s="14">
        <v>0</v>
      </c>
      <c r="J37" s="15">
        <v>0</v>
      </c>
      <c r="K37" s="30">
        <v>0</v>
      </c>
      <c r="L37" s="17">
        <v>0</v>
      </c>
      <c r="M37" s="23">
        <v>1</v>
      </c>
      <c r="N37" s="33">
        <v>0</v>
      </c>
      <c r="O37" s="64">
        <v>0</v>
      </c>
      <c r="P37" s="19">
        <v>0</v>
      </c>
      <c r="Q37" s="18">
        <v>0</v>
      </c>
      <c r="R37" s="62">
        <f t="shared" si="0"/>
        <v>0</v>
      </c>
      <c r="T37" s="37">
        <v>0</v>
      </c>
      <c r="U37" s="16">
        <v>0</v>
      </c>
      <c r="V37"/>
      <c r="W37"/>
      <c r="X37"/>
    </row>
    <row r="38" spans="1:24" x14ac:dyDescent="0.25">
      <c r="A38" s="13">
        <v>37</v>
      </c>
      <c r="B38" s="13" t="s">
        <v>41</v>
      </c>
      <c r="C38" s="13">
        <v>2002</v>
      </c>
      <c r="D38" s="13" t="s">
        <v>144</v>
      </c>
      <c r="E38" s="13" t="s">
        <v>17</v>
      </c>
      <c r="F38" s="13" t="s">
        <v>28</v>
      </c>
      <c r="G38" s="20" t="s">
        <v>658</v>
      </c>
      <c r="H38" s="21">
        <v>0</v>
      </c>
      <c r="I38" s="14">
        <v>0</v>
      </c>
      <c r="J38" s="15">
        <v>1</v>
      </c>
      <c r="K38" s="30">
        <v>0</v>
      </c>
      <c r="L38" s="17">
        <v>0</v>
      </c>
      <c r="M38" s="23">
        <v>0</v>
      </c>
      <c r="N38" s="33">
        <v>0</v>
      </c>
      <c r="O38" s="64">
        <v>0</v>
      </c>
      <c r="P38" s="19">
        <v>0</v>
      </c>
      <c r="Q38" s="18">
        <v>0</v>
      </c>
      <c r="R38" s="62">
        <f t="shared" si="0"/>
        <v>0</v>
      </c>
      <c r="T38" s="37">
        <v>0</v>
      </c>
      <c r="U38" s="16">
        <v>0</v>
      </c>
      <c r="V38"/>
      <c r="W38"/>
      <c r="X38"/>
    </row>
    <row r="39" spans="1:24" x14ac:dyDescent="0.25">
      <c r="A39" s="13">
        <v>38</v>
      </c>
      <c r="B39" s="13" t="s">
        <v>41</v>
      </c>
      <c r="C39" s="13">
        <v>2004</v>
      </c>
      <c r="D39" s="13" t="s">
        <v>144</v>
      </c>
      <c r="E39" s="13" t="s">
        <v>17</v>
      </c>
      <c r="F39" s="13" t="s">
        <v>28</v>
      </c>
      <c r="G39" s="20" t="s">
        <v>741</v>
      </c>
      <c r="H39" s="21">
        <v>1</v>
      </c>
      <c r="I39" s="14">
        <v>1</v>
      </c>
      <c r="J39" s="15">
        <v>1</v>
      </c>
      <c r="K39" s="30">
        <v>1</v>
      </c>
      <c r="L39" s="17">
        <v>0</v>
      </c>
      <c r="M39" s="23">
        <v>0</v>
      </c>
      <c r="N39" s="33">
        <v>0</v>
      </c>
      <c r="O39" s="64">
        <v>0</v>
      </c>
      <c r="P39" s="19">
        <v>0</v>
      </c>
      <c r="Q39" s="18">
        <v>0</v>
      </c>
      <c r="R39" s="62">
        <f t="shared" si="0"/>
        <v>0</v>
      </c>
      <c r="T39" s="37">
        <v>0</v>
      </c>
      <c r="U39" s="16">
        <v>0</v>
      </c>
      <c r="V39"/>
      <c r="W39"/>
      <c r="X39"/>
    </row>
    <row r="40" spans="1:24" x14ac:dyDescent="0.25">
      <c r="A40" s="13">
        <v>39</v>
      </c>
      <c r="B40" s="13" t="s">
        <v>474</v>
      </c>
      <c r="C40" s="13">
        <v>1996</v>
      </c>
      <c r="D40" s="13" t="s">
        <v>476</v>
      </c>
      <c r="E40" s="13" t="s">
        <v>74</v>
      </c>
      <c r="F40" s="13" t="s">
        <v>189</v>
      </c>
      <c r="G40" s="20" t="s">
        <v>607</v>
      </c>
      <c r="H40" s="21">
        <v>1</v>
      </c>
      <c r="I40" s="14">
        <v>0</v>
      </c>
      <c r="J40" s="15">
        <v>0</v>
      </c>
      <c r="K40" s="30">
        <v>0</v>
      </c>
      <c r="L40" s="17">
        <v>0</v>
      </c>
      <c r="M40" s="23">
        <v>0</v>
      </c>
      <c r="N40" s="33">
        <v>0</v>
      </c>
      <c r="O40" s="64">
        <v>0</v>
      </c>
      <c r="P40" s="19">
        <v>0</v>
      </c>
      <c r="Q40" s="18">
        <v>0</v>
      </c>
      <c r="R40" s="62">
        <f t="shared" si="0"/>
        <v>0</v>
      </c>
      <c r="T40" s="37">
        <v>0</v>
      </c>
      <c r="U40" s="16">
        <v>0</v>
      </c>
      <c r="V40"/>
      <c r="W40"/>
      <c r="X40"/>
    </row>
    <row r="41" spans="1:24" x14ac:dyDescent="0.25">
      <c r="A41" s="23">
        <v>40</v>
      </c>
      <c r="B41" s="23" t="s">
        <v>317</v>
      </c>
      <c r="C41" s="23">
        <v>2000</v>
      </c>
      <c r="D41" s="23" t="s">
        <v>319</v>
      </c>
      <c r="E41" s="23" t="s">
        <v>17</v>
      </c>
      <c r="F41" s="23" t="s">
        <v>28</v>
      </c>
      <c r="G41" s="24" t="s">
        <v>605</v>
      </c>
      <c r="H41" s="21">
        <v>0</v>
      </c>
      <c r="I41" s="14">
        <v>0</v>
      </c>
      <c r="J41" s="15">
        <v>0</v>
      </c>
      <c r="K41" s="30">
        <v>0</v>
      </c>
      <c r="L41" s="17">
        <v>0</v>
      </c>
      <c r="M41" s="23">
        <v>1</v>
      </c>
      <c r="N41" s="33">
        <v>0</v>
      </c>
      <c r="O41" s="64">
        <v>0</v>
      </c>
      <c r="P41" s="19">
        <v>0</v>
      </c>
      <c r="Q41" s="18">
        <v>0</v>
      </c>
      <c r="R41" s="62">
        <f t="shared" si="0"/>
        <v>0</v>
      </c>
      <c r="T41" s="37">
        <v>0</v>
      </c>
      <c r="U41" s="16">
        <v>0</v>
      </c>
      <c r="V41"/>
      <c r="W41"/>
      <c r="X41"/>
    </row>
    <row r="42" spans="1:24" x14ac:dyDescent="0.25">
      <c r="A42" s="13">
        <v>41</v>
      </c>
      <c r="B42" s="13" t="s">
        <v>580</v>
      </c>
      <c r="C42" s="13">
        <v>2020</v>
      </c>
      <c r="D42" s="13" t="s">
        <v>548</v>
      </c>
      <c r="E42" s="13" t="s">
        <v>74</v>
      </c>
      <c r="F42" s="13" t="s">
        <v>28</v>
      </c>
      <c r="G42" s="20" t="s">
        <v>656</v>
      </c>
      <c r="H42" s="21">
        <v>0</v>
      </c>
      <c r="I42" s="14">
        <v>0</v>
      </c>
      <c r="J42" s="15">
        <v>0</v>
      </c>
      <c r="K42" s="30">
        <v>0</v>
      </c>
      <c r="L42" s="17">
        <v>0</v>
      </c>
      <c r="M42" s="23">
        <v>0</v>
      </c>
      <c r="N42" s="33">
        <v>1</v>
      </c>
      <c r="O42" s="64">
        <v>0</v>
      </c>
      <c r="P42" s="19">
        <v>0</v>
      </c>
      <c r="Q42" s="18">
        <v>0</v>
      </c>
      <c r="R42" s="62">
        <f t="shared" si="0"/>
        <v>0</v>
      </c>
      <c r="T42" s="37">
        <v>0</v>
      </c>
      <c r="U42" s="16">
        <v>0</v>
      </c>
      <c r="V42"/>
      <c r="W42"/>
      <c r="X42"/>
    </row>
    <row r="43" spans="1:24" x14ac:dyDescent="0.25">
      <c r="A43" s="13">
        <v>1</v>
      </c>
      <c r="B43" s="13" t="s">
        <v>441</v>
      </c>
      <c r="C43" s="13">
        <v>2008</v>
      </c>
      <c r="D43" s="13" t="s">
        <v>195</v>
      </c>
      <c r="E43" s="13" t="s">
        <v>17</v>
      </c>
      <c r="F43" s="13" t="s">
        <v>189</v>
      </c>
      <c r="G43" s="20" t="s">
        <v>662</v>
      </c>
      <c r="H43" s="21">
        <v>1</v>
      </c>
      <c r="I43" s="14">
        <v>0</v>
      </c>
      <c r="J43" s="15">
        <v>1</v>
      </c>
      <c r="K43" s="30">
        <v>0</v>
      </c>
      <c r="L43" s="17">
        <v>0</v>
      </c>
      <c r="M43" s="23">
        <v>0</v>
      </c>
      <c r="N43" s="33">
        <v>0</v>
      </c>
      <c r="O43" s="64">
        <v>0</v>
      </c>
      <c r="P43" s="19">
        <v>0</v>
      </c>
      <c r="Q43" s="18">
        <v>0</v>
      </c>
      <c r="R43" s="62">
        <f t="shared" si="0"/>
        <v>1</v>
      </c>
      <c r="T43" s="37">
        <v>1</v>
      </c>
      <c r="U43" s="16">
        <v>0</v>
      </c>
      <c r="V43"/>
      <c r="W43"/>
      <c r="X43"/>
    </row>
    <row r="44" spans="1:24" x14ac:dyDescent="0.25">
      <c r="A44" s="13">
        <v>43</v>
      </c>
      <c r="B44" s="13" t="s">
        <v>515</v>
      </c>
      <c r="C44" s="13">
        <v>2022</v>
      </c>
      <c r="D44" s="13" t="s">
        <v>516</v>
      </c>
      <c r="E44" s="13" t="s">
        <v>116</v>
      </c>
      <c r="F44" s="13" t="s">
        <v>28</v>
      </c>
      <c r="G44" s="20" t="s">
        <v>657</v>
      </c>
      <c r="H44" s="21">
        <v>1</v>
      </c>
      <c r="I44" s="14">
        <v>0</v>
      </c>
      <c r="J44" s="15">
        <v>0</v>
      </c>
      <c r="K44" s="30">
        <v>1</v>
      </c>
      <c r="L44" s="17">
        <v>0</v>
      </c>
      <c r="M44" s="23">
        <v>0</v>
      </c>
      <c r="N44" s="33">
        <v>0</v>
      </c>
      <c r="O44" s="64">
        <v>0</v>
      </c>
      <c r="P44" s="19">
        <v>0</v>
      </c>
      <c r="Q44" s="18">
        <v>0</v>
      </c>
      <c r="R44" s="62">
        <f t="shared" si="0"/>
        <v>0</v>
      </c>
      <c r="T44" s="37">
        <v>0</v>
      </c>
      <c r="U44" s="16">
        <v>0</v>
      </c>
      <c r="V44"/>
      <c r="W44"/>
      <c r="X44"/>
    </row>
    <row r="45" spans="1:24" x14ac:dyDescent="0.25">
      <c r="A45" s="13">
        <v>44</v>
      </c>
      <c r="B45" s="25" t="s">
        <v>113</v>
      </c>
      <c r="C45" s="13">
        <v>2016</v>
      </c>
      <c r="D45" s="13" t="s">
        <v>114</v>
      </c>
      <c r="E45" s="13" t="s">
        <v>116</v>
      </c>
      <c r="F45" s="13" t="s">
        <v>28</v>
      </c>
      <c r="G45" s="20" t="s">
        <v>605</v>
      </c>
      <c r="H45" s="21">
        <v>0</v>
      </c>
      <c r="I45" s="14">
        <v>0</v>
      </c>
      <c r="J45" s="15">
        <v>0</v>
      </c>
      <c r="K45" s="30">
        <v>0</v>
      </c>
      <c r="L45" s="17">
        <v>0</v>
      </c>
      <c r="M45" s="23">
        <v>1</v>
      </c>
      <c r="N45" s="33">
        <v>0</v>
      </c>
      <c r="O45" s="64">
        <v>0</v>
      </c>
      <c r="P45" s="19">
        <v>0</v>
      </c>
      <c r="Q45" s="18">
        <v>0</v>
      </c>
      <c r="R45" s="62">
        <f t="shared" si="0"/>
        <v>0</v>
      </c>
      <c r="T45" s="37">
        <v>0</v>
      </c>
      <c r="U45" s="16">
        <v>0</v>
      </c>
      <c r="V45"/>
      <c r="W45"/>
      <c r="X45"/>
    </row>
    <row r="46" spans="1:24" x14ac:dyDescent="0.25">
      <c r="A46" s="13">
        <v>45</v>
      </c>
      <c r="B46" s="13" t="s">
        <v>265</v>
      </c>
      <c r="C46" s="13">
        <v>2004</v>
      </c>
      <c r="D46" s="13" t="s">
        <v>267</v>
      </c>
      <c r="E46" s="13" t="s">
        <v>17</v>
      </c>
      <c r="F46" s="13" t="s">
        <v>28</v>
      </c>
      <c r="G46" s="20" t="s">
        <v>621</v>
      </c>
      <c r="H46" s="21">
        <v>1</v>
      </c>
      <c r="I46" s="14">
        <v>0</v>
      </c>
      <c r="J46" s="15">
        <v>1</v>
      </c>
      <c r="K46" s="30">
        <v>0</v>
      </c>
      <c r="L46" s="17">
        <v>0</v>
      </c>
      <c r="M46" s="23">
        <v>0</v>
      </c>
      <c r="N46" s="33">
        <v>0</v>
      </c>
      <c r="O46" s="64">
        <v>0</v>
      </c>
      <c r="P46" s="19">
        <v>0</v>
      </c>
      <c r="Q46" s="18">
        <v>0</v>
      </c>
      <c r="R46" s="62">
        <f t="shared" si="0"/>
        <v>0</v>
      </c>
      <c r="T46" s="37">
        <v>0</v>
      </c>
      <c r="U46" s="16">
        <v>0</v>
      </c>
      <c r="V46"/>
      <c r="W46"/>
      <c r="X46"/>
    </row>
    <row r="47" spans="1:24" x14ac:dyDescent="0.25">
      <c r="A47" s="13">
        <v>46</v>
      </c>
      <c r="B47" s="13" t="s">
        <v>37</v>
      </c>
      <c r="C47" s="13">
        <v>2014</v>
      </c>
      <c r="D47" s="13" t="s">
        <v>62</v>
      </c>
      <c r="E47" s="13" t="s">
        <v>30</v>
      </c>
      <c r="F47" s="13" t="s">
        <v>27</v>
      </c>
      <c r="G47" s="20" t="s">
        <v>603</v>
      </c>
      <c r="H47" s="21">
        <v>0</v>
      </c>
      <c r="I47" s="14">
        <v>1</v>
      </c>
      <c r="J47" s="15">
        <v>0</v>
      </c>
      <c r="K47" s="30">
        <v>0</v>
      </c>
      <c r="L47" s="17">
        <v>0</v>
      </c>
      <c r="M47" s="23">
        <v>0</v>
      </c>
      <c r="N47" s="33">
        <v>0</v>
      </c>
      <c r="O47" s="64">
        <v>0</v>
      </c>
      <c r="P47" s="19">
        <v>0</v>
      </c>
      <c r="Q47" s="18">
        <v>0</v>
      </c>
      <c r="R47" s="62">
        <f t="shared" si="0"/>
        <v>0</v>
      </c>
      <c r="T47" s="37">
        <v>0</v>
      </c>
      <c r="U47" s="16">
        <v>0</v>
      </c>
      <c r="V47"/>
      <c r="W47"/>
      <c r="X47"/>
    </row>
    <row r="48" spans="1:24" x14ac:dyDescent="0.25">
      <c r="A48" s="13">
        <v>47</v>
      </c>
      <c r="B48" s="13" t="s">
        <v>564</v>
      </c>
      <c r="C48" s="13">
        <v>2019</v>
      </c>
      <c r="D48" s="13" t="s">
        <v>540</v>
      </c>
      <c r="E48" s="13" t="s">
        <v>74</v>
      </c>
      <c r="F48" s="13" t="s">
        <v>28</v>
      </c>
      <c r="G48" s="20" t="s">
        <v>659</v>
      </c>
      <c r="H48" s="21">
        <v>1</v>
      </c>
      <c r="I48" s="14">
        <v>1</v>
      </c>
      <c r="J48" s="15">
        <v>0</v>
      </c>
      <c r="K48" s="30">
        <v>0</v>
      </c>
      <c r="L48" s="17">
        <v>0</v>
      </c>
      <c r="M48" s="23">
        <v>0</v>
      </c>
      <c r="N48" s="33">
        <v>0</v>
      </c>
      <c r="O48" s="64">
        <v>0</v>
      </c>
      <c r="P48" s="19">
        <v>0</v>
      </c>
      <c r="Q48" s="18">
        <v>0</v>
      </c>
      <c r="R48" s="62">
        <f t="shared" si="0"/>
        <v>1</v>
      </c>
      <c r="T48" s="37">
        <v>1</v>
      </c>
      <c r="U48" s="16">
        <v>0</v>
      </c>
      <c r="V48"/>
      <c r="W48"/>
      <c r="X48"/>
    </row>
    <row r="49" spans="1:24" x14ac:dyDescent="0.25">
      <c r="A49" s="13">
        <v>48</v>
      </c>
      <c r="B49" s="13" t="s">
        <v>88</v>
      </c>
      <c r="C49" s="13">
        <v>2003</v>
      </c>
      <c r="D49" s="13" t="s">
        <v>87</v>
      </c>
      <c r="E49" s="13" t="s">
        <v>17</v>
      </c>
      <c r="F49" s="13" t="s">
        <v>189</v>
      </c>
      <c r="G49" s="20" t="s">
        <v>641</v>
      </c>
      <c r="H49" s="21">
        <v>1</v>
      </c>
      <c r="I49" s="14">
        <v>1</v>
      </c>
      <c r="J49" s="15">
        <v>1</v>
      </c>
      <c r="K49" s="30">
        <v>0</v>
      </c>
      <c r="L49" s="17">
        <v>0</v>
      </c>
      <c r="M49" s="23">
        <v>0</v>
      </c>
      <c r="N49" s="33">
        <v>0</v>
      </c>
      <c r="O49" s="64">
        <v>0</v>
      </c>
      <c r="P49" s="19">
        <v>0</v>
      </c>
      <c r="Q49" s="18">
        <v>0</v>
      </c>
      <c r="R49" s="62">
        <f t="shared" si="0"/>
        <v>0</v>
      </c>
      <c r="T49" s="37">
        <v>0</v>
      </c>
      <c r="U49" s="16">
        <v>0</v>
      </c>
      <c r="V49"/>
      <c r="W49"/>
      <c r="X49"/>
    </row>
    <row r="50" spans="1:24" x14ac:dyDescent="0.25">
      <c r="A50" s="13">
        <v>49</v>
      </c>
      <c r="B50" s="13" t="s">
        <v>438</v>
      </c>
      <c r="C50" s="13">
        <v>1991</v>
      </c>
      <c r="D50" s="13" t="s">
        <v>439</v>
      </c>
      <c r="E50" s="13" t="s">
        <v>74</v>
      </c>
      <c r="F50" s="13" t="s">
        <v>28</v>
      </c>
      <c r="G50" s="20" t="s">
        <v>607</v>
      </c>
      <c r="H50" s="21">
        <v>1</v>
      </c>
      <c r="I50" s="14">
        <v>0</v>
      </c>
      <c r="J50" s="15">
        <v>0</v>
      </c>
      <c r="K50" s="30">
        <v>0</v>
      </c>
      <c r="L50" s="17">
        <v>0</v>
      </c>
      <c r="M50" s="23">
        <v>0</v>
      </c>
      <c r="N50" s="33">
        <v>0</v>
      </c>
      <c r="O50" s="64">
        <v>0</v>
      </c>
      <c r="P50" s="19">
        <v>0</v>
      </c>
      <c r="Q50" s="18">
        <v>0</v>
      </c>
      <c r="R50" s="62">
        <f t="shared" si="0"/>
        <v>0</v>
      </c>
      <c r="T50" s="37">
        <v>0</v>
      </c>
      <c r="U50" s="16">
        <v>0</v>
      </c>
      <c r="V50"/>
      <c r="W50"/>
      <c r="X50"/>
    </row>
    <row r="51" spans="1:24" x14ac:dyDescent="0.25">
      <c r="A51" s="13">
        <v>50</v>
      </c>
      <c r="B51" s="20" t="s">
        <v>102</v>
      </c>
      <c r="C51" s="13">
        <v>2004</v>
      </c>
      <c r="D51" s="13" t="s">
        <v>73</v>
      </c>
      <c r="E51" s="13" t="s">
        <v>74</v>
      </c>
      <c r="F51" s="13" t="s">
        <v>28</v>
      </c>
      <c r="G51" s="20" t="s">
        <v>679</v>
      </c>
      <c r="H51" s="21">
        <v>0</v>
      </c>
      <c r="I51" s="14">
        <v>0</v>
      </c>
      <c r="J51" s="15">
        <v>0</v>
      </c>
      <c r="K51" s="30">
        <v>0</v>
      </c>
      <c r="L51" s="17">
        <v>1</v>
      </c>
      <c r="M51" s="23">
        <v>0</v>
      </c>
      <c r="N51" s="33">
        <v>0</v>
      </c>
      <c r="O51" s="64">
        <v>1</v>
      </c>
      <c r="P51" s="19">
        <v>0</v>
      </c>
      <c r="Q51" s="18">
        <v>0</v>
      </c>
      <c r="R51" s="62">
        <f t="shared" si="0"/>
        <v>0</v>
      </c>
      <c r="T51" s="37">
        <v>0</v>
      </c>
      <c r="U51" s="16">
        <v>0</v>
      </c>
      <c r="V51"/>
      <c r="W51"/>
      <c r="X51"/>
    </row>
    <row r="52" spans="1:24" x14ac:dyDescent="0.25">
      <c r="A52" s="27">
        <v>51</v>
      </c>
      <c r="B52" s="22" t="s">
        <v>234</v>
      </c>
      <c r="C52" s="22">
        <v>2002</v>
      </c>
      <c r="D52" s="22" t="s">
        <v>320</v>
      </c>
      <c r="E52" s="22" t="s">
        <v>180</v>
      </c>
      <c r="F52" s="22" t="s">
        <v>231</v>
      </c>
      <c r="G52" s="28" t="s">
        <v>663</v>
      </c>
      <c r="H52" s="21">
        <v>0</v>
      </c>
      <c r="I52" s="14">
        <v>0</v>
      </c>
      <c r="J52" s="15">
        <v>1</v>
      </c>
      <c r="K52" s="30">
        <v>0</v>
      </c>
      <c r="L52" s="17">
        <v>1</v>
      </c>
      <c r="M52" s="23">
        <v>0</v>
      </c>
      <c r="N52" s="33">
        <v>0</v>
      </c>
      <c r="O52" s="64">
        <v>1</v>
      </c>
      <c r="P52" s="19">
        <v>0</v>
      </c>
      <c r="Q52" s="18">
        <v>0</v>
      </c>
      <c r="R52" s="62">
        <f t="shared" si="0"/>
        <v>0</v>
      </c>
      <c r="T52" s="37">
        <v>0</v>
      </c>
      <c r="U52" s="16">
        <v>0</v>
      </c>
      <c r="V52"/>
      <c r="W52"/>
      <c r="X52"/>
    </row>
    <row r="53" spans="1:24" x14ac:dyDescent="0.25">
      <c r="A53" s="13">
        <v>52</v>
      </c>
      <c r="B53" s="13" t="s">
        <v>244</v>
      </c>
      <c r="C53" s="13">
        <v>2015</v>
      </c>
      <c r="D53" s="13" t="s">
        <v>335</v>
      </c>
      <c r="E53" s="13" t="s">
        <v>239</v>
      </c>
      <c r="F53" s="13" t="s">
        <v>189</v>
      </c>
      <c r="G53" s="20" t="s">
        <v>641</v>
      </c>
      <c r="H53" s="21">
        <v>1</v>
      </c>
      <c r="I53" s="14">
        <v>1</v>
      </c>
      <c r="J53" s="15">
        <v>1</v>
      </c>
      <c r="K53" s="30">
        <v>0</v>
      </c>
      <c r="L53" s="17">
        <v>0</v>
      </c>
      <c r="M53" s="23">
        <v>0</v>
      </c>
      <c r="N53" s="33">
        <v>0</v>
      </c>
      <c r="O53" s="64">
        <v>1</v>
      </c>
      <c r="P53" s="19">
        <v>0</v>
      </c>
      <c r="Q53" s="18">
        <v>0</v>
      </c>
      <c r="R53" s="62">
        <f t="shared" si="0"/>
        <v>0</v>
      </c>
      <c r="T53" s="37">
        <v>0</v>
      </c>
      <c r="U53" s="16">
        <v>0</v>
      </c>
      <c r="V53"/>
      <c r="W53"/>
      <c r="X53"/>
    </row>
    <row r="54" spans="1:24" x14ac:dyDescent="0.25">
      <c r="A54" s="13">
        <v>53</v>
      </c>
      <c r="B54" s="13" t="s">
        <v>538</v>
      </c>
      <c r="C54" s="13">
        <v>2020</v>
      </c>
      <c r="D54" s="13" t="s">
        <v>540</v>
      </c>
      <c r="E54" s="13" t="s">
        <v>74</v>
      </c>
      <c r="F54" s="13" t="s">
        <v>28</v>
      </c>
      <c r="G54" s="20" t="s">
        <v>726</v>
      </c>
      <c r="H54" s="21">
        <v>1</v>
      </c>
      <c r="I54" s="14">
        <v>1</v>
      </c>
      <c r="J54" s="15">
        <v>1</v>
      </c>
      <c r="K54" s="30">
        <v>1</v>
      </c>
      <c r="L54" s="17">
        <v>0</v>
      </c>
      <c r="M54" s="23">
        <v>0</v>
      </c>
      <c r="N54" s="33">
        <v>0</v>
      </c>
      <c r="O54" s="64">
        <v>0</v>
      </c>
      <c r="P54" s="19">
        <v>0</v>
      </c>
      <c r="Q54" s="18">
        <v>0</v>
      </c>
      <c r="R54" s="62">
        <f t="shared" si="0"/>
        <v>0</v>
      </c>
      <c r="T54" s="37">
        <v>0</v>
      </c>
      <c r="U54" s="16">
        <v>0</v>
      </c>
      <c r="V54"/>
      <c r="W54"/>
      <c r="X54"/>
    </row>
    <row r="55" spans="1:24" x14ac:dyDescent="0.25">
      <c r="A55" s="13">
        <v>54</v>
      </c>
      <c r="B55" s="13" t="s">
        <v>84</v>
      </c>
      <c r="C55" s="13">
        <v>2007</v>
      </c>
      <c r="D55" s="13" t="s">
        <v>81</v>
      </c>
      <c r="E55" s="13" t="s">
        <v>17</v>
      </c>
      <c r="F55" s="13" t="s">
        <v>189</v>
      </c>
      <c r="G55" s="20" t="s">
        <v>660</v>
      </c>
      <c r="H55" s="21">
        <v>1</v>
      </c>
      <c r="I55" s="14">
        <v>1</v>
      </c>
      <c r="J55" s="15">
        <v>0</v>
      </c>
      <c r="K55" s="30">
        <v>1</v>
      </c>
      <c r="L55" s="17">
        <v>0</v>
      </c>
      <c r="M55" s="23">
        <v>0</v>
      </c>
      <c r="N55" s="33">
        <v>1</v>
      </c>
      <c r="O55" s="64">
        <v>0</v>
      </c>
      <c r="P55" s="19">
        <v>0</v>
      </c>
      <c r="Q55" s="18">
        <v>0</v>
      </c>
      <c r="R55" s="62">
        <f t="shared" si="0"/>
        <v>0</v>
      </c>
      <c r="T55" s="37">
        <v>0</v>
      </c>
      <c r="U55" s="16">
        <v>0</v>
      </c>
      <c r="V55"/>
      <c r="W55"/>
      <c r="X55"/>
    </row>
    <row r="56" spans="1:24" x14ac:dyDescent="0.25">
      <c r="A56" s="13">
        <v>55</v>
      </c>
      <c r="B56" s="13" t="s">
        <v>84</v>
      </c>
      <c r="C56" s="13">
        <v>2010</v>
      </c>
      <c r="D56" s="13" t="s">
        <v>342</v>
      </c>
      <c r="E56" s="13" t="s">
        <v>180</v>
      </c>
      <c r="F56" s="13" t="s">
        <v>189</v>
      </c>
      <c r="G56" s="20" t="s">
        <v>656</v>
      </c>
      <c r="H56" s="21">
        <v>0</v>
      </c>
      <c r="I56" s="14">
        <v>0</v>
      </c>
      <c r="J56" s="15">
        <v>0</v>
      </c>
      <c r="K56" s="30">
        <v>0</v>
      </c>
      <c r="L56" s="17">
        <v>1</v>
      </c>
      <c r="M56" s="23">
        <v>0</v>
      </c>
      <c r="N56" s="33">
        <v>1</v>
      </c>
      <c r="O56" s="64">
        <v>0</v>
      </c>
      <c r="P56" s="19">
        <v>0</v>
      </c>
      <c r="Q56" s="18">
        <v>0</v>
      </c>
      <c r="R56" s="62">
        <f t="shared" si="0"/>
        <v>0</v>
      </c>
      <c r="T56" s="37">
        <v>0</v>
      </c>
      <c r="U56" s="16">
        <v>0</v>
      </c>
      <c r="V56"/>
      <c r="W56"/>
      <c r="X56"/>
    </row>
    <row r="57" spans="1:24" x14ac:dyDescent="0.25">
      <c r="A57" s="13">
        <v>56</v>
      </c>
      <c r="B57" s="13" t="s">
        <v>193</v>
      </c>
      <c r="C57" s="13">
        <v>2016</v>
      </c>
      <c r="D57" s="13" t="s">
        <v>195</v>
      </c>
      <c r="E57" s="13" t="s">
        <v>17</v>
      </c>
      <c r="F57" s="13" t="s">
        <v>189</v>
      </c>
      <c r="G57" s="20" t="s">
        <v>702</v>
      </c>
      <c r="H57" s="21">
        <v>1</v>
      </c>
      <c r="I57" s="14">
        <v>1</v>
      </c>
      <c r="J57" s="15">
        <v>0</v>
      </c>
      <c r="K57" s="30">
        <v>1</v>
      </c>
      <c r="L57" s="17">
        <v>0</v>
      </c>
      <c r="M57" s="23">
        <v>0</v>
      </c>
      <c r="N57" s="33">
        <v>1</v>
      </c>
      <c r="O57" s="64">
        <v>0</v>
      </c>
      <c r="P57" s="19">
        <v>0</v>
      </c>
      <c r="Q57" s="18">
        <v>1</v>
      </c>
      <c r="R57" s="62">
        <f t="shared" si="0"/>
        <v>1</v>
      </c>
      <c r="T57" s="37">
        <v>1</v>
      </c>
      <c r="U57" s="16">
        <v>0</v>
      </c>
      <c r="V57"/>
      <c r="W57"/>
      <c r="X57"/>
    </row>
    <row r="58" spans="1:24" x14ac:dyDescent="0.25">
      <c r="A58" s="13">
        <v>57</v>
      </c>
      <c r="B58" s="13" t="s">
        <v>193</v>
      </c>
      <c r="C58" s="13">
        <v>2017</v>
      </c>
      <c r="D58" s="13" t="s">
        <v>195</v>
      </c>
      <c r="E58" s="13" t="s">
        <v>17</v>
      </c>
      <c r="F58" s="13" t="s">
        <v>189</v>
      </c>
      <c r="G58" s="20" t="s">
        <v>701</v>
      </c>
      <c r="H58" s="21">
        <v>1</v>
      </c>
      <c r="I58" s="14">
        <v>0</v>
      </c>
      <c r="J58" s="15">
        <v>0</v>
      </c>
      <c r="K58" s="30">
        <v>0</v>
      </c>
      <c r="L58" s="17">
        <v>0</v>
      </c>
      <c r="M58" s="23">
        <v>0</v>
      </c>
      <c r="N58" s="33">
        <v>0</v>
      </c>
      <c r="O58" s="64">
        <v>0</v>
      </c>
      <c r="P58" s="19">
        <v>0</v>
      </c>
      <c r="Q58" s="18">
        <v>1</v>
      </c>
      <c r="R58" s="62">
        <f t="shared" si="0"/>
        <v>1</v>
      </c>
      <c r="T58" s="37">
        <v>1</v>
      </c>
      <c r="U58" s="16">
        <v>0</v>
      </c>
      <c r="V58"/>
      <c r="W58"/>
      <c r="X58"/>
    </row>
    <row r="59" spans="1:24" x14ac:dyDescent="0.25">
      <c r="A59" s="23">
        <v>58</v>
      </c>
      <c r="B59" s="23" t="s">
        <v>452</v>
      </c>
      <c r="C59" s="23">
        <v>2006</v>
      </c>
      <c r="D59" s="23" t="s">
        <v>454</v>
      </c>
      <c r="E59" s="23" t="s">
        <v>17</v>
      </c>
      <c r="F59" s="23" t="s">
        <v>28</v>
      </c>
      <c r="G59" s="24" t="s">
        <v>603</v>
      </c>
      <c r="H59" s="21">
        <v>0</v>
      </c>
      <c r="I59" s="14">
        <v>1</v>
      </c>
      <c r="J59" s="15">
        <v>0</v>
      </c>
      <c r="K59" s="30">
        <v>0</v>
      </c>
      <c r="L59" s="17">
        <v>0</v>
      </c>
      <c r="M59" s="23">
        <v>0</v>
      </c>
      <c r="N59" s="33">
        <v>0</v>
      </c>
      <c r="O59" s="64">
        <v>0</v>
      </c>
      <c r="P59" s="19">
        <v>0</v>
      </c>
      <c r="Q59" s="18">
        <v>0</v>
      </c>
      <c r="R59" s="62">
        <f t="shared" si="0"/>
        <v>0</v>
      </c>
      <c r="T59" s="37">
        <v>0</v>
      </c>
      <c r="U59" s="16">
        <v>0</v>
      </c>
      <c r="V59"/>
      <c r="W59"/>
      <c r="X59"/>
    </row>
    <row r="60" spans="1:24" x14ac:dyDescent="0.25">
      <c r="A60" s="13">
        <v>59</v>
      </c>
      <c r="B60" s="13" t="s">
        <v>305</v>
      </c>
      <c r="C60" s="13">
        <v>2021</v>
      </c>
      <c r="D60" s="13" t="s">
        <v>306</v>
      </c>
      <c r="E60" s="13" t="s">
        <v>230</v>
      </c>
      <c r="F60" s="13" t="s">
        <v>28</v>
      </c>
      <c r="G60" s="20" t="s">
        <v>617</v>
      </c>
      <c r="H60" s="21">
        <v>0</v>
      </c>
      <c r="I60" s="14">
        <v>0</v>
      </c>
      <c r="J60" s="15">
        <v>0</v>
      </c>
      <c r="K60" s="30">
        <v>0</v>
      </c>
      <c r="L60" s="17">
        <v>1</v>
      </c>
      <c r="M60" s="23">
        <v>0</v>
      </c>
      <c r="N60" s="33">
        <v>0</v>
      </c>
      <c r="O60" s="64">
        <v>0</v>
      </c>
      <c r="P60" s="19">
        <v>0</v>
      </c>
      <c r="Q60" s="18">
        <v>0</v>
      </c>
      <c r="R60" s="62">
        <f t="shared" si="0"/>
        <v>0</v>
      </c>
      <c r="T60" s="37">
        <v>0</v>
      </c>
      <c r="U60" s="16">
        <v>0</v>
      </c>
      <c r="V60"/>
      <c r="W60"/>
      <c r="X60"/>
    </row>
    <row r="61" spans="1:24" x14ac:dyDescent="0.25">
      <c r="A61" s="13">
        <v>60</v>
      </c>
      <c r="B61" s="13" t="s">
        <v>591</v>
      </c>
      <c r="C61" s="13">
        <v>2010</v>
      </c>
      <c r="D61" s="13" t="s">
        <v>590</v>
      </c>
      <c r="E61" s="13" t="s">
        <v>74</v>
      </c>
      <c r="F61" s="13" t="s">
        <v>28</v>
      </c>
      <c r="G61" s="20" t="s">
        <v>665</v>
      </c>
      <c r="H61" s="21">
        <v>0</v>
      </c>
      <c r="I61" s="14">
        <v>0</v>
      </c>
      <c r="J61" s="15">
        <v>0</v>
      </c>
      <c r="K61" s="30">
        <v>1</v>
      </c>
      <c r="L61" s="17">
        <v>0</v>
      </c>
      <c r="M61" s="23">
        <v>0</v>
      </c>
      <c r="N61" s="33">
        <v>0</v>
      </c>
      <c r="O61" s="64">
        <v>0</v>
      </c>
      <c r="P61" s="19">
        <v>0</v>
      </c>
      <c r="Q61" s="18">
        <v>0</v>
      </c>
      <c r="R61" s="62">
        <f t="shared" si="0"/>
        <v>0</v>
      </c>
      <c r="T61" s="37">
        <v>0</v>
      </c>
      <c r="U61" s="16">
        <v>0</v>
      </c>
      <c r="V61"/>
      <c r="W61"/>
      <c r="X61"/>
    </row>
    <row r="62" spans="1:24" x14ac:dyDescent="0.25">
      <c r="A62" s="13">
        <v>61</v>
      </c>
      <c r="B62" s="25" t="s">
        <v>117</v>
      </c>
      <c r="C62" s="13">
        <v>2008</v>
      </c>
      <c r="D62" s="13" t="s">
        <v>119</v>
      </c>
      <c r="E62" s="13" t="s">
        <v>74</v>
      </c>
      <c r="F62" s="13" t="s">
        <v>78</v>
      </c>
      <c r="G62" s="20" t="s">
        <v>656</v>
      </c>
      <c r="H62" s="21">
        <v>0</v>
      </c>
      <c r="I62" s="14">
        <v>0</v>
      </c>
      <c r="J62" s="15">
        <v>0</v>
      </c>
      <c r="K62" s="30">
        <v>0</v>
      </c>
      <c r="L62" s="17">
        <v>0</v>
      </c>
      <c r="M62" s="23">
        <v>0</v>
      </c>
      <c r="N62" s="33">
        <v>1</v>
      </c>
      <c r="O62" s="64">
        <v>0</v>
      </c>
      <c r="P62" s="19">
        <v>0</v>
      </c>
      <c r="Q62" s="18">
        <v>0</v>
      </c>
      <c r="R62" s="62">
        <f t="shared" si="0"/>
        <v>0</v>
      </c>
      <c r="T62" s="37">
        <v>0</v>
      </c>
      <c r="U62" s="16">
        <v>0</v>
      </c>
      <c r="V62"/>
      <c r="W62"/>
      <c r="X62"/>
    </row>
    <row r="63" spans="1:24" x14ac:dyDescent="0.25">
      <c r="A63" s="13">
        <v>62</v>
      </c>
      <c r="B63" s="13" t="s">
        <v>552</v>
      </c>
      <c r="C63" s="13">
        <v>2018</v>
      </c>
      <c r="D63" s="13" t="s">
        <v>554</v>
      </c>
      <c r="E63" s="13" t="s">
        <v>74</v>
      </c>
      <c r="F63" s="13" t="s">
        <v>28</v>
      </c>
      <c r="G63" s="20" t="s">
        <v>665</v>
      </c>
      <c r="H63" s="21">
        <v>0</v>
      </c>
      <c r="I63" s="14">
        <v>0</v>
      </c>
      <c r="J63" s="15">
        <v>0</v>
      </c>
      <c r="K63" s="30">
        <v>1</v>
      </c>
      <c r="L63" s="17">
        <v>0</v>
      </c>
      <c r="M63" s="23">
        <v>0</v>
      </c>
      <c r="N63" s="33">
        <v>0</v>
      </c>
      <c r="O63" s="64">
        <v>0</v>
      </c>
      <c r="P63" s="19">
        <v>0</v>
      </c>
      <c r="Q63" s="18">
        <v>0</v>
      </c>
      <c r="R63" s="62">
        <f t="shared" si="0"/>
        <v>0</v>
      </c>
      <c r="T63" s="37">
        <v>0</v>
      </c>
      <c r="U63" s="16">
        <v>0</v>
      </c>
      <c r="V63"/>
      <c r="W63"/>
      <c r="X63"/>
    </row>
    <row r="64" spans="1:24" x14ac:dyDescent="0.25">
      <c r="A64" s="13">
        <v>63</v>
      </c>
      <c r="B64" s="13" t="s">
        <v>126</v>
      </c>
      <c r="C64" s="13">
        <v>2014</v>
      </c>
      <c r="D64" s="13" t="s">
        <v>337</v>
      </c>
      <c r="E64" s="13" t="s">
        <v>74</v>
      </c>
      <c r="F64" s="13" t="s">
        <v>189</v>
      </c>
      <c r="G64" s="20" t="s">
        <v>666</v>
      </c>
      <c r="H64" s="21">
        <v>0</v>
      </c>
      <c r="I64" s="14">
        <v>0</v>
      </c>
      <c r="J64" s="15">
        <v>1</v>
      </c>
      <c r="K64" s="30">
        <v>1</v>
      </c>
      <c r="L64" s="17">
        <v>0</v>
      </c>
      <c r="M64" s="23">
        <v>0</v>
      </c>
      <c r="N64" s="33">
        <v>0</v>
      </c>
      <c r="O64" s="64">
        <v>0</v>
      </c>
      <c r="P64" s="19">
        <v>0</v>
      </c>
      <c r="Q64" s="18">
        <v>0</v>
      </c>
      <c r="R64" s="62">
        <f t="shared" si="0"/>
        <v>0</v>
      </c>
      <c r="T64" s="37">
        <v>0</v>
      </c>
      <c r="U64" s="16">
        <v>0</v>
      </c>
      <c r="V64"/>
      <c r="W64"/>
      <c r="X64"/>
    </row>
    <row r="65" spans="1:24" x14ac:dyDescent="0.25">
      <c r="A65" s="13">
        <v>64</v>
      </c>
      <c r="B65" s="13" t="s">
        <v>92</v>
      </c>
      <c r="C65" s="13">
        <v>2019</v>
      </c>
      <c r="D65" s="13" t="s">
        <v>52</v>
      </c>
      <c r="E65" s="13" t="s">
        <v>30</v>
      </c>
      <c r="F65" s="13" t="s">
        <v>27</v>
      </c>
      <c r="G65" s="20" t="s">
        <v>607</v>
      </c>
      <c r="H65" s="21">
        <v>1</v>
      </c>
      <c r="I65" s="14">
        <v>0</v>
      </c>
      <c r="J65" s="15">
        <v>0</v>
      </c>
      <c r="K65" s="30">
        <v>0</v>
      </c>
      <c r="L65" s="17">
        <v>0</v>
      </c>
      <c r="M65" s="23">
        <v>0</v>
      </c>
      <c r="N65" s="33">
        <v>0</v>
      </c>
      <c r="O65" s="64">
        <v>0</v>
      </c>
      <c r="P65" s="19">
        <v>0</v>
      </c>
      <c r="Q65" s="18">
        <v>0</v>
      </c>
      <c r="R65" s="62">
        <f t="shared" si="0"/>
        <v>0</v>
      </c>
      <c r="T65" s="37">
        <v>0</v>
      </c>
      <c r="U65" s="16">
        <v>0</v>
      </c>
      <c r="V65"/>
      <c r="W65"/>
      <c r="X65"/>
    </row>
    <row r="66" spans="1:24" x14ac:dyDescent="0.25">
      <c r="A66" s="13">
        <v>65</v>
      </c>
      <c r="B66" s="13" t="s">
        <v>541</v>
      </c>
      <c r="C66" s="13">
        <v>2017</v>
      </c>
      <c r="D66" s="13" t="s">
        <v>543</v>
      </c>
      <c r="E66" s="13" t="s">
        <v>74</v>
      </c>
      <c r="F66" s="13" t="s">
        <v>28</v>
      </c>
      <c r="G66" s="20" t="s">
        <v>682</v>
      </c>
      <c r="H66" s="21">
        <v>0</v>
      </c>
      <c r="I66" s="14">
        <v>1</v>
      </c>
      <c r="J66" s="15">
        <v>0</v>
      </c>
      <c r="K66" s="30">
        <v>0</v>
      </c>
      <c r="L66" s="17">
        <v>1</v>
      </c>
      <c r="M66" s="23">
        <v>0</v>
      </c>
      <c r="N66" s="33">
        <v>0</v>
      </c>
      <c r="O66" s="64">
        <v>0</v>
      </c>
      <c r="P66" s="19">
        <v>0</v>
      </c>
      <c r="Q66" s="18">
        <v>1</v>
      </c>
      <c r="R66" s="62">
        <f t="shared" si="0"/>
        <v>0</v>
      </c>
      <c r="T66" s="37">
        <v>0</v>
      </c>
      <c r="U66" s="16">
        <v>0</v>
      </c>
      <c r="V66"/>
      <c r="W66"/>
      <c r="X66"/>
    </row>
    <row r="67" spans="1:24" x14ac:dyDescent="0.25">
      <c r="A67" s="23">
        <v>66</v>
      </c>
      <c r="B67" s="23" t="s">
        <v>300</v>
      </c>
      <c r="C67" s="23">
        <v>2004</v>
      </c>
      <c r="D67" s="23" t="s">
        <v>301</v>
      </c>
      <c r="E67" s="23" t="s">
        <v>17</v>
      </c>
      <c r="F67" s="23" t="s">
        <v>28</v>
      </c>
      <c r="G67" s="24" t="s">
        <v>662</v>
      </c>
      <c r="H67" s="21">
        <v>1</v>
      </c>
      <c r="I67" s="14">
        <v>0</v>
      </c>
      <c r="J67" s="15">
        <v>1</v>
      </c>
      <c r="K67" s="30">
        <v>0</v>
      </c>
      <c r="L67" s="17">
        <v>0</v>
      </c>
      <c r="M67" s="23">
        <v>0</v>
      </c>
      <c r="N67" s="33">
        <v>0</v>
      </c>
      <c r="O67" s="64">
        <v>0</v>
      </c>
      <c r="P67" s="19">
        <v>0</v>
      </c>
      <c r="Q67" s="18">
        <v>0</v>
      </c>
      <c r="R67" s="62">
        <f t="shared" ref="R67:R124" si="1">SUM(T67:U67)</f>
        <v>0</v>
      </c>
      <c r="T67" s="37">
        <v>0</v>
      </c>
      <c r="U67" s="16">
        <v>0</v>
      </c>
      <c r="V67"/>
      <c r="W67"/>
      <c r="X67"/>
    </row>
    <row r="68" spans="1:24" x14ac:dyDescent="0.25">
      <c r="A68" s="13">
        <v>67</v>
      </c>
      <c r="B68" s="13" t="s">
        <v>269</v>
      </c>
      <c r="C68" s="13">
        <v>1991</v>
      </c>
      <c r="D68" s="13" t="s">
        <v>270</v>
      </c>
      <c r="E68" s="13" t="s">
        <v>322</v>
      </c>
      <c r="F68" s="13" t="s">
        <v>28</v>
      </c>
      <c r="G68" s="20" t="s">
        <v>658</v>
      </c>
      <c r="H68" s="21">
        <v>1</v>
      </c>
      <c r="I68" s="14">
        <v>0</v>
      </c>
      <c r="J68" s="15">
        <v>0</v>
      </c>
      <c r="K68" s="30">
        <v>1</v>
      </c>
      <c r="L68" s="17">
        <v>0</v>
      </c>
      <c r="M68" s="23">
        <v>0</v>
      </c>
      <c r="N68" s="33">
        <v>0</v>
      </c>
      <c r="O68" s="64">
        <v>0</v>
      </c>
      <c r="P68" s="19">
        <v>0</v>
      </c>
      <c r="Q68" s="18">
        <v>0</v>
      </c>
      <c r="R68" s="62">
        <f t="shared" si="1"/>
        <v>0</v>
      </c>
      <c r="T68" s="37">
        <v>0</v>
      </c>
      <c r="U68" s="16">
        <v>0</v>
      </c>
      <c r="V68"/>
      <c r="W68"/>
      <c r="X68"/>
    </row>
    <row r="69" spans="1:24" x14ac:dyDescent="0.25">
      <c r="A69" s="13">
        <v>68</v>
      </c>
      <c r="B69" s="13" t="s">
        <v>507</v>
      </c>
      <c r="C69" s="13">
        <v>2016</v>
      </c>
      <c r="D69" s="13" t="s">
        <v>508</v>
      </c>
      <c r="E69" s="13" t="s">
        <v>116</v>
      </c>
      <c r="F69" s="13" t="s">
        <v>28</v>
      </c>
      <c r="G69" s="20" t="s">
        <v>621</v>
      </c>
      <c r="H69" s="21">
        <v>1</v>
      </c>
      <c r="I69" s="14">
        <v>0</v>
      </c>
      <c r="J69" s="15">
        <v>1</v>
      </c>
      <c r="K69" s="30">
        <v>0</v>
      </c>
      <c r="L69" s="17">
        <v>0</v>
      </c>
      <c r="M69" s="23">
        <v>0</v>
      </c>
      <c r="N69" s="33">
        <v>0</v>
      </c>
      <c r="O69" s="64">
        <v>0</v>
      </c>
      <c r="P69" s="19">
        <v>0</v>
      </c>
      <c r="Q69" s="18">
        <v>0</v>
      </c>
      <c r="R69" s="62">
        <f t="shared" si="1"/>
        <v>0</v>
      </c>
      <c r="T69" s="37">
        <v>0</v>
      </c>
      <c r="U69" s="16">
        <v>0</v>
      </c>
      <c r="V69"/>
      <c r="W69"/>
      <c r="X69"/>
    </row>
    <row r="70" spans="1:24" x14ac:dyDescent="0.25">
      <c r="A70" s="23">
        <v>69</v>
      </c>
      <c r="B70" s="23" t="s">
        <v>272</v>
      </c>
      <c r="C70" s="23">
        <v>2001</v>
      </c>
      <c r="D70" s="23" t="s">
        <v>223</v>
      </c>
      <c r="E70" s="23" t="s">
        <v>17</v>
      </c>
      <c r="F70" s="23" t="s">
        <v>28</v>
      </c>
      <c r="G70" s="24" t="s">
        <v>666</v>
      </c>
      <c r="H70" s="21">
        <v>0</v>
      </c>
      <c r="I70" s="14">
        <v>0</v>
      </c>
      <c r="J70" s="15">
        <v>1</v>
      </c>
      <c r="K70" s="30">
        <v>1</v>
      </c>
      <c r="L70" s="17">
        <v>0</v>
      </c>
      <c r="M70" s="23">
        <v>0</v>
      </c>
      <c r="N70" s="33">
        <v>0</v>
      </c>
      <c r="O70" s="64">
        <v>0</v>
      </c>
      <c r="P70" s="19">
        <v>0</v>
      </c>
      <c r="Q70" s="18">
        <v>0</v>
      </c>
      <c r="R70" s="62">
        <f t="shared" si="1"/>
        <v>0</v>
      </c>
      <c r="T70" s="37">
        <v>0</v>
      </c>
      <c r="U70" s="16">
        <v>0</v>
      </c>
      <c r="V70"/>
      <c r="W70"/>
      <c r="X70"/>
    </row>
    <row r="71" spans="1:24" x14ac:dyDescent="0.25">
      <c r="A71" s="13">
        <v>70</v>
      </c>
      <c r="B71" s="13" t="s">
        <v>596</v>
      </c>
      <c r="C71" s="13">
        <v>2007</v>
      </c>
      <c r="D71" s="13" t="s">
        <v>598</v>
      </c>
      <c r="E71" s="13" t="s">
        <v>74</v>
      </c>
      <c r="F71" s="13" t="s">
        <v>28</v>
      </c>
      <c r="G71" s="20" t="s">
        <v>604</v>
      </c>
      <c r="H71" s="21">
        <v>1</v>
      </c>
      <c r="I71" s="14">
        <v>1</v>
      </c>
      <c r="J71" s="15">
        <v>0</v>
      </c>
      <c r="K71" s="30">
        <v>0</v>
      </c>
      <c r="L71" s="17">
        <v>0</v>
      </c>
      <c r="M71" s="23">
        <v>0</v>
      </c>
      <c r="N71" s="33">
        <v>0</v>
      </c>
      <c r="O71" s="64">
        <v>0</v>
      </c>
      <c r="P71" s="19">
        <v>0</v>
      </c>
      <c r="Q71" s="18">
        <v>0</v>
      </c>
      <c r="R71" s="62">
        <f t="shared" si="1"/>
        <v>0</v>
      </c>
      <c r="T71" s="37">
        <v>0</v>
      </c>
      <c r="U71" s="16">
        <v>0</v>
      </c>
      <c r="V71"/>
      <c r="W71"/>
      <c r="X71"/>
    </row>
    <row r="72" spans="1:24" x14ac:dyDescent="0.25">
      <c r="A72" s="13">
        <v>71</v>
      </c>
      <c r="B72" s="13" t="s">
        <v>38</v>
      </c>
      <c r="C72" s="13">
        <v>2021</v>
      </c>
      <c r="D72" s="13" t="s">
        <v>91</v>
      </c>
      <c r="E72" s="13" t="s">
        <v>30</v>
      </c>
      <c r="F72" s="13" t="s">
        <v>27</v>
      </c>
      <c r="G72" s="20" t="s">
        <v>725</v>
      </c>
      <c r="H72" s="21">
        <v>1</v>
      </c>
      <c r="I72" s="14">
        <v>0</v>
      </c>
      <c r="J72" s="15">
        <v>1</v>
      </c>
      <c r="K72" s="30">
        <v>0</v>
      </c>
      <c r="L72" s="17">
        <v>0</v>
      </c>
      <c r="M72" s="23">
        <v>0</v>
      </c>
      <c r="N72" s="33">
        <v>0</v>
      </c>
      <c r="O72" s="64">
        <v>0</v>
      </c>
      <c r="P72" s="19">
        <v>0</v>
      </c>
      <c r="Q72" s="18">
        <v>0</v>
      </c>
      <c r="R72" s="62">
        <f t="shared" si="1"/>
        <v>1</v>
      </c>
      <c r="T72" s="37">
        <v>0</v>
      </c>
      <c r="U72" s="16">
        <v>1</v>
      </c>
      <c r="V72"/>
      <c r="W72"/>
      <c r="X72"/>
    </row>
    <row r="73" spans="1:24" x14ac:dyDescent="0.25">
      <c r="A73" s="13">
        <v>72</v>
      </c>
      <c r="B73" s="13" t="s">
        <v>146</v>
      </c>
      <c r="C73" s="13">
        <v>2001</v>
      </c>
      <c r="D73" s="13" t="s">
        <v>147</v>
      </c>
      <c r="E73" s="13" t="s">
        <v>17</v>
      </c>
      <c r="F73" s="13" t="s">
        <v>137</v>
      </c>
      <c r="G73" s="20" t="s">
        <v>736</v>
      </c>
      <c r="H73" s="21">
        <v>1</v>
      </c>
      <c r="I73" s="14">
        <v>1</v>
      </c>
      <c r="J73" s="15">
        <v>0</v>
      </c>
      <c r="K73" s="30">
        <v>0</v>
      </c>
      <c r="L73" s="17">
        <v>0</v>
      </c>
      <c r="M73" s="23">
        <v>0</v>
      </c>
      <c r="N73" s="33">
        <v>0</v>
      </c>
      <c r="O73" s="64">
        <v>0</v>
      </c>
      <c r="P73" s="19">
        <v>0</v>
      </c>
      <c r="Q73" s="18">
        <v>0</v>
      </c>
      <c r="R73" s="62">
        <f t="shared" si="1"/>
        <v>0</v>
      </c>
      <c r="T73" s="37">
        <v>0</v>
      </c>
      <c r="U73" s="16">
        <v>0</v>
      </c>
      <c r="V73"/>
      <c r="W73"/>
      <c r="X73"/>
    </row>
    <row r="74" spans="1:24" x14ac:dyDescent="0.25">
      <c r="A74" s="13">
        <v>73</v>
      </c>
      <c r="B74" s="13" t="s">
        <v>151</v>
      </c>
      <c r="C74" s="13">
        <v>2011</v>
      </c>
      <c r="D74" s="13" t="s">
        <v>166</v>
      </c>
      <c r="E74" s="13" t="s">
        <v>17</v>
      </c>
      <c r="F74" s="13" t="s">
        <v>28</v>
      </c>
      <c r="G74" s="20" t="s">
        <v>706</v>
      </c>
      <c r="H74" s="21">
        <v>1</v>
      </c>
      <c r="I74" s="14">
        <v>1</v>
      </c>
      <c r="J74" s="15">
        <v>1</v>
      </c>
      <c r="K74" s="30">
        <v>0</v>
      </c>
      <c r="L74" s="17">
        <v>1</v>
      </c>
      <c r="M74" s="23">
        <v>0</v>
      </c>
      <c r="N74" s="33">
        <v>0</v>
      </c>
      <c r="O74" s="64">
        <v>0</v>
      </c>
      <c r="P74" s="19">
        <v>0</v>
      </c>
      <c r="Q74" s="18">
        <v>0</v>
      </c>
      <c r="R74" s="62">
        <f t="shared" si="1"/>
        <v>0</v>
      </c>
      <c r="T74" s="37">
        <v>0</v>
      </c>
      <c r="U74" s="16">
        <v>0</v>
      </c>
      <c r="V74"/>
      <c r="W74"/>
      <c r="X74"/>
    </row>
    <row r="75" spans="1:24" x14ac:dyDescent="0.25">
      <c r="A75" s="13">
        <v>74</v>
      </c>
      <c r="B75" s="13" t="s">
        <v>575</v>
      </c>
      <c r="C75" s="13">
        <v>2022</v>
      </c>
      <c r="D75" s="13" t="s">
        <v>577</v>
      </c>
      <c r="E75" s="13" t="s">
        <v>17</v>
      </c>
      <c r="F75" s="13" t="s">
        <v>28</v>
      </c>
      <c r="G75" s="20" t="s">
        <v>607</v>
      </c>
      <c r="H75" s="21">
        <v>0</v>
      </c>
      <c r="I75" s="14">
        <v>1</v>
      </c>
      <c r="J75" s="15">
        <v>0</v>
      </c>
      <c r="K75" s="30">
        <v>0</v>
      </c>
      <c r="L75" s="17">
        <v>0</v>
      </c>
      <c r="M75" s="23">
        <v>0</v>
      </c>
      <c r="N75" s="33">
        <v>0</v>
      </c>
      <c r="O75" s="64">
        <v>1</v>
      </c>
      <c r="P75" s="19">
        <v>0</v>
      </c>
      <c r="Q75" s="18">
        <v>0</v>
      </c>
      <c r="R75" s="62">
        <f t="shared" si="1"/>
        <v>0</v>
      </c>
      <c r="T75" s="37">
        <v>0</v>
      </c>
      <c r="U75" s="16">
        <v>0</v>
      </c>
      <c r="V75"/>
      <c r="W75"/>
      <c r="X75"/>
    </row>
    <row r="76" spans="1:24" x14ac:dyDescent="0.25">
      <c r="A76" s="23">
        <v>75</v>
      </c>
      <c r="B76" s="23" t="s">
        <v>302</v>
      </c>
      <c r="C76" s="23">
        <v>2006</v>
      </c>
      <c r="D76" s="23" t="s">
        <v>303</v>
      </c>
      <c r="E76" s="23" t="s">
        <v>17</v>
      </c>
      <c r="F76" s="23" t="s">
        <v>28</v>
      </c>
      <c r="G76" s="24" t="s">
        <v>621</v>
      </c>
      <c r="H76" s="21">
        <v>0</v>
      </c>
      <c r="I76" s="14">
        <v>1</v>
      </c>
      <c r="J76" s="15">
        <v>1</v>
      </c>
      <c r="K76" s="30">
        <v>0</v>
      </c>
      <c r="L76" s="17">
        <v>0</v>
      </c>
      <c r="M76" s="23">
        <v>0</v>
      </c>
      <c r="N76" s="33">
        <v>0</v>
      </c>
      <c r="O76" s="64">
        <v>0</v>
      </c>
      <c r="P76" s="19">
        <v>0</v>
      </c>
      <c r="Q76" s="18">
        <v>0</v>
      </c>
      <c r="R76" s="62">
        <f t="shared" si="1"/>
        <v>0</v>
      </c>
      <c r="T76" s="37">
        <v>0</v>
      </c>
      <c r="U76" s="16">
        <v>0</v>
      </c>
      <c r="V76"/>
      <c r="W76"/>
      <c r="X76"/>
    </row>
    <row r="77" spans="1:24" x14ac:dyDescent="0.25">
      <c r="A77" s="13">
        <v>76</v>
      </c>
      <c r="B77" s="13" t="s">
        <v>32</v>
      </c>
      <c r="C77" s="13">
        <v>2013</v>
      </c>
      <c r="D77" s="13" t="s">
        <v>33</v>
      </c>
      <c r="E77" s="13" t="s">
        <v>30</v>
      </c>
      <c r="F77" s="13" t="s">
        <v>27</v>
      </c>
      <c r="G77" s="20" t="s">
        <v>603</v>
      </c>
      <c r="H77" s="21">
        <v>0</v>
      </c>
      <c r="I77" s="14">
        <v>1</v>
      </c>
      <c r="J77" s="15">
        <v>0</v>
      </c>
      <c r="K77" s="30">
        <v>0</v>
      </c>
      <c r="L77" s="17">
        <v>0</v>
      </c>
      <c r="M77" s="23">
        <v>0</v>
      </c>
      <c r="N77" s="33">
        <v>0</v>
      </c>
      <c r="O77" s="64">
        <v>0</v>
      </c>
      <c r="P77" s="19">
        <v>0</v>
      </c>
      <c r="Q77" s="18">
        <v>0</v>
      </c>
      <c r="R77" s="62">
        <f t="shared" si="1"/>
        <v>0</v>
      </c>
      <c r="T77" s="37">
        <v>0</v>
      </c>
      <c r="U77" s="16">
        <v>0</v>
      </c>
      <c r="V77"/>
      <c r="W77"/>
      <c r="X77"/>
    </row>
    <row r="78" spans="1:24" x14ac:dyDescent="0.25">
      <c r="A78" s="13">
        <v>77</v>
      </c>
      <c r="B78" s="13" t="s">
        <v>161</v>
      </c>
      <c r="C78" s="13">
        <v>2006</v>
      </c>
      <c r="D78" s="13" t="s">
        <v>162</v>
      </c>
      <c r="E78" s="13" t="s">
        <v>30</v>
      </c>
      <c r="F78" s="13" t="s">
        <v>28</v>
      </c>
      <c r="G78" s="20" t="s">
        <v>622</v>
      </c>
      <c r="H78" s="21">
        <v>0</v>
      </c>
      <c r="I78" s="14">
        <v>1</v>
      </c>
      <c r="J78" s="15">
        <v>1</v>
      </c>
      <c r="K78" s="30">
        <v>0</v>
      </c>
      <c r="L78" s="17">
        <v>1</v>
      </c>
      <c r="M78" s="23">
        <v>0</v>
      </c>
      <c r="N78" s="33">
        <v>0</v>
      </c>
      <c r="O78" s="64">
        <v>0</v>
      </c>
      <c r="P78" s="19">
        <v>0</v>
      </c>
      <c r="Q78" s="18">
        <v>0</v>
      </c>
      <c r="R78" s="62">
        <f t="shared" si="1"/>
        <v>0</v>
      </c>
      <c r="T78" s="37">
        <v>0</v>
      </c>
      <c r="U78" s="16">
        <v>0</v>
      </c>
      <c r="V78"/>
      <c r="W78"/>
      <c r="X78"/>
    </row>
    <row r="79" spans="1:24" x14ac:dyDescent="0.25">
      <c r="A79" s="13">
        <v>78</v>
      </c>
      <c r="B79" s="13" t="s">
        <v>523</v>
      </c>
      <c r="C79" s="13">
        <v>2022</v>
      </c>
      <c r="D79" s="13" t="s">
        <v>491</v>
      </c>
      <c r="E79" s="13" t="s">
        <v>116</v>
      </c>
      <c r="F79" s="13" t="s">
        <v>28</v>
      </c>
      <c r="G79" s="20" t="s">
        <v>655</v>
      </c>
      <c r="H79" s="21">
        <v>1</v>
      </c>
      <c r="I79" s="14">
        <v>1</v>
      </c>
      <c r="J79" s="15">
        <v>0</v>
      </c>
      <c r="K79" s="30">
        <v>1</v>
      </c>
      <c r="L79" s="17">
        <v>0</v>
      </c>
      <c r="M79" s="23">
        <v>0</v>
      </c>
      <c r="N79" s="33">
        <v>0</v>
      </c>
      <c r="O79" s="64">
        <v>0</v>
      </c>
      <c r="P79" s="19">
        <v>0</v>
      </c>
      <c r="Q79" s="18">
        <v>0</v>
      </c>
      <c r="R79" s="62">
        <f t="shared" si="1"/>
        <v>0</v>
      </c>
      <c r="T79" s="37">
        <v>0</v>
      </c>
      <c r="U79" s="16">
        <v>0</v>
      </c>
      <c r="V79"/>
      <c r="W79"/>
      <c r="X79"/>
    </row>
    <row r="80" spans="1:24" x14ac:dyDescent="0.25">
      <c r="A80" s="13">
        <v>79</v>
      </c>
      <c r="B80" s="13" t="s">
        <v>2</v>
      </c>
      <c r="C80" s="13">
        <v>2013</v>
      </c>
      <c r="D80" s="13" t="s">
        <v>144</v>
      </c>
      <c r="E80" s="13" t="s">
        <v>17</v>
      </c>
      <c r="F80" s="13" t="s">
        <v>28</v>
      </c>
      <c r="G80" s="20" t="s">
        <v>604</v>
      </c>
      <c r="H80" s="21">
        <v>1</v>
      </c>
      <c r="I80" s="14">
        <v>1</v>
      </c>
      <c r="J80" s="15">
        <v>0</v>
      </c>
      <c r="K80" s="30">
        <v>0</v>
      </c>
      <c r="L80" s="17">
        <v>0</v>
      </c>
      <c r="M80" s="23">
        <v>0</v>
      </c>
      <c r="N80" s="33">
        <v>0</v>
      </c>
      <c r="O80" s="64">
        <v>0</v>
      </c>
      <c r="P80" s="19">
        <v>0</v>
      </c>
      <c r="Q80" s="18">
        <v>0</v>
      </c>
      <c r="R80" s="62">
        <f t="shared" si="1"/>
        <v>0</v>
      </c>
      <c r="T80" s="37">
        <v>0</v>
      </c>
      <c r="U80" s="16">
        <v>0</v>
      </c>
      <c r="V80"/>
      <c r="W80"/>
      <c r="X80"/>
    </row>
    <row r="81" spans="1:24" x14ac:dyDescent="0.25">
      <c r="A81" s="13">
        <v>80</v>
      </c>
      <c r="B81" s="13" t="s">
        <v>2</v>
      </c>
      <c r="C81" s="13">
        <v>2015</v>
      </c>
      <c r="D81" s="13" t="s">
        <v>5</v>
      </c>
      <c r="E81" s="13" t="s">
        <v>30</v>
      </c>
      <c r="F81" s="13" t="s">
        <v>27</v>
      </c>
      <c r="G81" s="20" t="s">
        <v>604</v>
      </c>
      <c r="H81" s="21">
        <v>1</v>
      </c>
      <c r="I81" s="14">
        <v>1</v>
      </c>
      <c r="J81" s="15">
        <v>0</v>
      </c>
      <c r="K81" s="30">
        <v>0</v>
      </c>
      <c r="L81" s="17">
        <v>0</v>
      </c>
      <c r="M81" s="23">
        <v>0</v>
      </c>
      <c r="N81" s="33">
        <v>0</v>
      </c>
      <c r="O81" s="64">
        <v>0</v>
      </c>
      <c r="P81" s="19">
        <v>0</v>
      </c>
      <c r="Q81" s="18">
        <v>0</v>
      </c>
      <c r="R81" s="62">
        <f t="shared" si="1"/>
        <v>0</v>
      </c>
      <c r="T81" s="37">
        <v>0</v>
      </c>
      <c r="U81" s="16">
        <v>0</v>
      </c>
      <c r="V81"/>
      <c r="W81"/>
      <c r="X81"/>
    </row>
    <row r="82" spans="1:24" x14ac:dyDescent="0.25">
      <c r="A82" s="13">
        <v>81</v>
      </c>
      <c r="B82" s="13" t="s">
        <v>2</v>
      </c>
      <c r="C82" s="13">
        <v>2017</v>
      </c>
      <c r="D82" s="13" t="s">
        <v>5</v>
      </c>
      <c r="E82" s="13" t="s">
        <v>30</v>
      </c>
      <c r="F82" s="13" t="s">
        <v>27</v>
      </c>
      <c r="G82" s="20" t="s">
        <v>606</v>
      </c>
      <c r="H82" s="21">
        <v>0</v>
      </c>
      <c r="I82" s="14">
        <v>0</v>
      </c>
      <c r="J82" s="15">
        <v>0</v>
      </c>
      <c r="K82" s="30">
        <v>0</v>
      </c>
      <c r="L82" s="17">
        <v>0</v>
      </c>
      <c r="M82" s="23">
        <v>0</v>
      </c>
      <c r="N82" s="33">
        <v>0</v>
      </c>
      <c r="O82" s="64">
        <v>0</v>
      </c>
      <c r="P82" s="19">
        <v>1</v>
      </c>
      <c r="Q82" s="18">
        <v>0</v>
      </c>
      <c r="R82" s="62">
        <f t="shared" si="1"/>
        <v>0</v>
      </c>
      <c r="T82" s="37">
        <v>0</v>
      </c>
      <c r="U82" s="16">
        <v>0</v>
      </c>
      <c r="V82"/>
      <c r="W82"/>
      <c r="X82"/>
    </row>
    <row r="83" spans="1:24" x14ac:dyDescent="0.25">
      <c r="A83" s="13">
        <v>82</v>
      </c>
      <c r="B83" s="13" t="s">
        <v>2</v>
      </c>
      <c r="C83" s="13">
        <v>2017</v>
      </c>
      <c r="D83" s="13" t="s">
        <v>5</v>
      </c>
      <c r="E83" s="13" t="s">
        <v>30</v>
      </c>
      <c r="F83" s="13" t="s">
        <v>27</v>
      </c>
      <c r="G83" s="20" t="s">
        <v>655</v>
      </c>
      <c r="H83" s="21">
        <v>1</v>
      </c>
      <c r="I83" s="14">
        <v>1</v>
      </c>
      <c r="J83" s="15">
        <v>0</v>
      </c>
      <c r="K83" s="30">
        <v>1</v>
      </c>
      <c r="L83" s="17">
        <v>0</v>
      </c>
      <c r="M83" s="23">
        <v>0</v>
      </c>
      <c r="N83" s="33">
        <v>0</v>
      </c>
      <c r="O83" s="64">
        <v>0</v>
      </c>
      <c r="P83" s="19">
        <v>0</v>
      </c>
      <c r="Q83" s="18">
        <v>0</v>
      </c>
      <c r="R83" s="62">
        <f t="shared" si="1"/>
        <v>0</v>
      </c>
      <c r="T83" s="37">
        <v>0</v>
      </c>
      <c r="U83" s="16">
        <v>0</v>
      </c>
      <c r="V83"/>
      <c r="W83"/>
      <c r="X83"/>
    </row>
    <row r="84" spans="1:24" x14ac:dyDescent="0.25">
      <c r="A84" s="27">
        <v>83</v>
      </c>
      <c r="B84" s="22" t="s">
        <v>227</v>
      </c>
      <c r="C84" s="22">
        <v>1999</v>
      </c>
      <c r="D84" s="22" t="s">
        <v>228</v>
      </c>
      <c r="E84" s="22" t="s">
        <v>230</v>
      </c>
      <c r="F84" s="22" t="s">
        <v>231</v>
      </c>
      <c r="G84" s="28" t="s">
        <v>617</v>
      </c>
      <c r="H84" s="21">
        <v>0</v>
      </c>
      <c r="I84" s="14">
        <v>0</v>
      </c>
      <c r="J84" s="15">
        <v>0</v>
      </c>
      <c r="K84" s="30">
        <v>0</v>
      </c>
      <c r="L84" s="17">
        <v>1</v>
      </c>
      <c r="M84" s="23">
        <v>0</v>
      </c>
      <c r="N84" s="33">
        <v>0</v>
      </c>
      <c r="O84" s="64">
        <v>0</v>
      </c>
      <c r="P84" s="19">
        <v>0</v>
      </c>
      <c r="Q84" s="18">
        <v>0</v>
      </c>
      <c r="R84" s="62">
        <f t="shared" si="1"/>
        <v>0</v>
      </c>
      <c r="T84" s="37">
        <v>0</v>
      </c>
      <c r="U84" s="16">
        <v>0</v>
      </c>
      <c r="V84"/>
      <c r="W84"/>
      <c r="X84"/>
    </row>
    <row r="85" spans="1:24" x14ac:dyDescent="0.25">
      <c r="A85" s="27">
        <v>84</v>
      </c>
      <c r="B85" s="22" t="s">
        <v>227</v>
      </c>
      <c r="C85" s="22">
        <v>2006</v>
      </c>
      <c r="D85" s="22" t="s">
        <v>228</v>
      </c>
      <c r="E85" s="22" t="s">
        <v>230</v>
      </c>
      <c r="F85" s="22" t="s">
        <v>231</v>
      </c>
      <c r="G85" s="28" t="s">
        <v>626</v>
      </c>
      <c r="H85" s="21">
        <v>0</v>
      </c>
      <c r="I85" s="14">
        <v>0</v>
      </c>
      <c r="J85" s="15">
        <v>1</v>
      </c>
      <c r="K85" s="30">
        <v>0</v>
      </c>
      <c r="L85" s="17">
        <v>1</v>
      </c>
      <c r="M85" s="23">
        <v>0</v>
      </c>
      <c r="N85" s="33">
        <v>0</v>
      </c>
      <c r="O85" s="64">
        <v>0</v>
      </c>
      <c r="P85" s="19">
        <v>0</v>
      </c>
      <c r="Q85" s="18">
        <v>0</v>
      </c>
      <c r="R85" s="62">
        <f t="shared" si="1"/>
        <v>0</v>
      </c>
      <c r="T85" s="37">
        <v>0</v>
      </c>
      <c r="U85" s="16">
        <v>0</v>
      </c>
      <c r="V85"/>
      <c r="W85"/>
      <c r="X85"/>
    </row>
    <row r="86" spans="1:24" x14ac:dyDescent="0.25">
      <c r="A86" s="13">
        <v>85</v>
      </c>
      <c r="B86" s="13" t="s">
        <v>177</v>
      </c>
      <c r="C86" s="13">
        <v>2011</v>
      </c>
      <c r="D86" s="13" t="s">
        <v>178</v>
      </c>
      <c r="E86" s="13" t="s">
        <v>74</v>
      </c>
      <c r="F86" s="13" t="s">
        <v>78</v>
      </c>
      <c r="G86" s="20" t="s">
        <v>727</v>
      </c>
      <c r="H86" s="21">
        <v>1</v>
      </c>
      <c r="I86" s="14">
        <v>0</v>
      </c>
      <c r="J86" s="15">
        <v>0</v>
      </c>
      <c r="K86" s="30">
        <v>0</v>
      </c>
      <c r="L86" s="17">
        <v>1</v>
      </c>
      <c r="M86" s="23">
        <v>0</v>
      </c>
      <c r="N86" s="33">
        <v>0</v>
      </c>
      <c r="O86" s="64">
        <v>0</v>
      </c>
      <c r="P86" s="19">
        <v>0</v>
      </c>
      <c r="Q86" s="18">
        <v>0</v>
      </c>
      <c r="R86" s="62">
        <f t="shared" si="1"/>
        <v>0</v>
      </c>
      <c r="T86" s="37">
        <v>0</v>
      </c>
      <c r="U86" s="16">
        <v>0</v>
      </c>
      <c r="V86"/>
      <c r="W86"/>
      <c r="X86"/>
    </row>
    <row r="87" spans="1:24" x14ac:dyDescent="0.25">
      <c r="A87" s="13">
        <v>86</v>
      </c>
      <c r="B87" s="13" t="s">
        <v>308</v>
      </c>
      <c r="C87" s="13">
        <v>2001</v>
      </c>
      <c r="D87" s="13" t="s">
        <v>309</v>
      </c>
      <c r="E87" s="13" t="s">
        <v>180</v>
      </c>
      <c r="F87" s="13" t="s">
        <v>27</v>
      </c>
      <c r="G87" s="20" t="s">
        <v>627</v>
      </c>
      <c r="H87" s="21">
        <v>0</v>
      </c>
      <c r="I87" s="14">
        <v>1</v>
      </c>
      <c r="J87" s="15">
        <v>1</v>
      </c>
      <c r="K87" s="30">
        <v>0</v>
      </c>
      <c r="L87" s="17">
        <v>1</v>
      </c>
      <c r="M87" s="23">
        <v>0</v>
      </c>
      <c r="N87" s="33">
        <v>0</v>
      </c>
      <c r="O87" s="64">
        <v>0</v>
      </c>
      <c r="P87" s="19">
        <v>0</v>
      </c>
      <c r="Q87" s="18">
        <v>0</v>
      </c>
      <c r="R87" s="62">
        <f t="shared" si="1"/>
        <v>0</v>
      </c>
      <c r="T87" s="37">
        <v>0</v>
      </c>
      <c r="U87" s="16">
        <v>0</v>
      </c>
      <c r="V87"/>
      <c r="W87"/>
      <c r="X87"/>
    </row>
    <row r="88" spans="1:24" x14ac:dyDescent="0.25">
      <c r="A88" s="13">
        <v>87</v>
      </c>
      <c r="B88" s="13" t="s">
        <v>501</v>
      </c>
      <c r="C88" s="13">
        <v>2008</v>
      </c>
      <c r="D88" s="13" t="s">
        <v>502</v>
      </c>
      <c r="E88" s="13" t="s">
        <v>17</v>
      </c>
      <c r="F88" s="13" t="s">
        <v>28</v>
      </c>
      <c r="G88" s="20" t="s">
        <v>667</v>
      </c>
      <c r="H88" s="21">
        <v>1</v>
      </c>
      <c r="I88" s="14">
        <v>1</v>
      </c>
      <c r="J88" s="15">
        <v>1</v>
      </c>
      <c r="K88" s="30">
        <v>1</v>
      </c>
      <c r="L88" s="17">
        <v>0</v>
      </c>
      <c r="M88" s="23">
        <v>0</v>
      </c>
      <c r="N88" s="33">
        <v>0</v>
      </c>
      <c r="O88" s="64">
        <v>0</v>
      </c>
      <c r="P88" s="19">
        <v>0</v>
      </c>
      <c r="Q88" s="18">
        <v>0</v>
      </c>
      <c r="R88" s="62">
        <f t="shared" si="1"/>
        <v>0</v>
      </c>
      <c r="T88" s="37">
        <v>0</v>
      </c>
      <c r="U88" s="16">
        <v>0</v>
      </c>
      <c r="V88"/>
      <c r="W88"/>
      <c r="X88"/>
    </row>
    <row r="89" spans="1:24" x14ac:dyDescent="0.25">
      <c r="A89" s="13">
        <v>88</v>
      </c>
      <c r="B89" s="20" t="s">
        <v>103</v>
      </c>
      <c r="C89" s="13">
        <v>2003</v>
      </c>
      <c r="D89" s="13" t="s">
        <v>105</v>
      </c>
      <c r="E89" s="13" t="s">
        <v>74</v>
      </c>
      <c r="F89" s="13" t="s">
        <v>78</v>
      </c>
      <c r="G89" s="20" t="s">
        <v>656</v>
      </c>
      <c r="H89" s="21">
        <v>0</v>
      </c>
      <c r="I89" s="14">
        <v>0</v>
      </c>
      <c r="J89" s="15">
        <v>0</v>
      </c>
      <c r="K89" s="30">
        <v>0</v>
      </c>
      <c r="L89" s="17">
        <v>0</v>
      </c>
      <c r="M89" s="23">
        <v>0</v>
      </c>
      <c r="N89" s="33">
        <v>1</v>
      </c>
      <c r="O89" s="64">
        <v>0</v>
      </c>
      <c r="P89" s="19">
        <v>0</v>
      </c>
      <c r="Q89" s="18">
        <v>0</v>
      </c>
      <c r="R89" s="62">
        <f t="shared" si="1"/>
        <v>0</v>
      </c>
      <c r="T89" s="37">
        <v>0</v>
      </c>
      <c r="U89" s="16">
        <v>0</v>
      </c>
      <c r="V89"/>
      <c r="W89"/>
      <c r="X89"/>
    </row>
    <row r="90" spans="1:24" x14ac:dyDescent="0.25">
      <c r="A90" s="13">
        <v>89</v>
      </c>
      <c r="B90" s="13" t="s">
        <v>257</v>
      </c>
      <c r="C90" s="13">
        <v>2009</v>
      </c>
      <c r="D90" s="13" t="s">
        <v>223</v>
      </c>
      <c r="E90" s="13" t="s">
        <v>17</v>
      </c>
      <c r="F90" s="13" t="s">
        <v>28</v>
      </c>
      <c r="G90" s="20" t="s">
        <v>710</v>
      </c>
      <c r="H90" s="21">
        <v>0</v>
      </c>
      <c r="I90" s="14">
        <v>1</v>
      </c>
      <c r="J90" s="15">
        <v>1</v>
      </c>
      <c r="K90" s="30">
        <v>1</v>
      </c>
      <c r="L90" s="17">
        <v>0</v>
      </c>
      <c r="M90" s="23">
        <v>0</v>
      </c>
      <c r="N90" s="33">
        <v>0</v>
      </c>
      <c r="O90" s="64">
        <v>0</v>
      </c>
      <c r="P90" s="19">
        <v>0</v>
      </c>
      <c r="Q90" s="18">
        <v>0</v>
      </c>
      <c r="R90" s="62">
        <f t="shared" si="1"/>
        <v>0</v>
      </c>
      <c r="T90" s="37">
        <v>0</v>
      </c>
      <c r="U90" s="16">
        <v>0</v>
      </c>
      <c r="V90"/>
      <c r="W90"/>
      <c r="X90"/>
    </row>
    <row r="91" spans="1:24" x14ac:dyDescent="0.25">
      <c r="A91" s="13">
        <v>90</v>
      </c>
      <c r="B91" s="13" t="s">
        <v>559</v>
      </c>
      <c r="C91" s="13">
        <v>2011</v>
      </c>
      <c r="D91" s="13" t="s">
        <v>561</v>
      </c>
      <c r="E91" s="13" t="s">
        <v>74</v>
      </c>
      <c r="F91" s="13" t="s">
        <v>28</v>
      </c>
      <c r="G91" s="20" t="s">
        <v>606</v>
      </c>
      <c r="H91" s="21">
        <v>0</v>
      </c>
      <c r="I91" s="14">
        <v>0</v>
      </c>
      <c r="J91" s="15">
        <v>0</v>
      </c>
      <c r="K91" s="30">
        <v>0</v>
      </c>
      <c r="L91" s="17">
        <v>0</v>
      </c>
      <c r="M91" s="23">
        <v>0</v>
      </c>
      <c r="N91" s="33">
        <v>0</v>
      </c>
      <c r="O91" s="64">
        <v>0</v>
      </c>
      <c r="P91" s="19">
        <v>1</v>
      </c>
      <c r="Q91" s="18">
        <v>0</v>
      </c>
      <c r="R91" s="62">
        <f t="shared" si="1"/>
        <v>0</v>
      </c>
      <c r="T91" s="37">
        <v>0</v>
      </c>
      <c r="U91" s="16">
        <v>0</v>
      </c>
      <c r="V91"/>
      <c r="W91"/>
      <c r="X91"/>
    </row>
    <row r="92" spans="1:24" x14ac:dyDescent="0.25">
      <c r="A92" s="13">
        <v>91</v>
      </c>
      <c r="B92" s="13" t="s">
        <v>312</v>
      </c>
      <c r="C92" s="13">
        <v>2016</v>
      </c>
      <c r="D92" s="13" t="s">
        <v>313</v>
      </c>
      <c r="E92" s="13" t="s">
        <v>17</v>
      </c>
      <c r="F92" s="13" t="s">
        <v>28</v>
      </c>
      <c r="G92" s="20" t="s">
        <v>661</v>
      </c>
      <c r="H92" s="21">
        <v>0</v>
      </c>
      <c r="I92" s="14">
        <v>1</v>
      </c>
      <c r="J92" s="15">
        <v>0</v>
      </c>
      <c r="K92" s="30">
        <v>1</v>
      </c>
      <c r="L92" s="17">
        <v>0</v>
      </c>
      <c r="M92" s="23">
        <v>0</v>
      </c>
      <c r="N92" s="33">
        <v>0</v>
      </c>
      <c r="O92" s="64">
        <v>0</v>
      </c>
      <c r="P92" s="19">
        <v>0</v>
      </c>
      <c r="Q92" s="18">
        <v>0</v>
      </c>
      <c r="R92" s="62">
        <f t="shared" si="1"/>
        <v>0</v>
      </c>
      <c r="T92" s="37">
        <v>0</v>
      </c>
      <c r="U92" s="16">
        <v>0</v>
      </c>
      <c r="V92"/>
      <c r="W92"/>
      <c r="X92"/>
    </row>
    <row r="93" spans="1:24" x14ac:dyDescent="0.25">
      <c r="A93" s="27">
        <v>92</v>
      </c>
      <c r="B93" s="22" t="s">
        <v>207</v>
      </c>
      <c r="C93" s="22">
        <v>2017</v>
      </c>
      <c r="D93" s="22" t="s">
        <v>225</v>
      </c>
      <c r="E93" s="22" t="s">
        <v>17</v>
      </c>
      <c r="F93" s="22" t="s">
        <v>231</v>
      </c>
      <c r="G93" s="28" t="s">
        <v>632</v>
      </c>
      <c r="H93" s="21">
        <v>0</v>
      </c>
      <c r="I93" s="14">
        <v>0</v>
      </c>
      <c r="J93" s="15">
        <v>1</v>
      </c>
      <c r="K93" s="30">
        <v>1</v>
      </c>
      <c r="L93" s="17">
        <v>0</v>
      </c>
      <c r="M93" s="23">
        <v>0</v>
      </c>
      <c r="N93" s="33">
        <v>0</v>
      </c>
      <c r="O93" s="64">
        <v>0</v>
      </c>
      <c r="P93" s="19">
        <v>0</v>
      </c>
      <c r="Q93" s="18">
        <v>0</v>
      </c>
      <c r="R93" s="62">
        <f t="shared" si="1"/>
        <v>0</v>
      </c>
      <c r="T93" s="37">
        <v>0</v>
      </c>
      <c r="U93" s="16">
        <v>0</v>
      </c>
      <c r="V93"/>
      <c r="W93"/>
      <c r="X93"/>
    </row>
    <row r="94" spans="1:24" x14ac:dyDescent="0.25">
      <c r="A94" s="13">
        <v>93</v>
      </c>
      <c r="B94" s="13" t="s">
        <v>94</v>
      </c>
      <c r="C94" s="13">
        <v>1999</v>
      </c>
      <c r="D94" s="13" t="s">
        <v>131</v>
      </c>
      <c r="E94" s="13" t="s">
        <v>30</v>
      </c>
      <c r="F94" s="13" t="s">
        <v>27</v>
      </c>
      <c r="G94" s="20" t="s">
        <v>715</v>
      </c>
      <c r="H94" s="21">
        <v>1</v>
      </c>
      <c r="I94" s="14">
        <v>0</v>
      </c>
      <c r="J94" s="15">
        <v>1</v>
      </c>
      <c r="K94" s="30">
        <v>1</v>
      </c>
      <c r="L94" s="17">
        <v>0</v>
      </c>
      <c r="M94" s="23">
        <v>0</v>
      </c>
      <c r="N94" s="33">
        <v>0</v>
      </c>
      <c r="O94" s="64">
        <v>0</v>
      </c>
      <c r="P94" s="19">
        <v>0</v>
      </c>
      <c r="Q94" s="18">
        <v>0</v>
      </c>
      <c r="R94" s="62">
        <f t="shared" si="1"/>
        <v>0</v>
      </c>
      <c r="T94" s="37">
        <v>0</v>
      </c>
      <c r="U94" s="16">
        <v>0</v>
      </c>
      <c r="V94"/>
      <c r="W94"/>
      <c r="X94"/>
    </row>
    <row r="95" spans="1:24" x14ac:dyDescent="0.25">
      <c r="A95" s="13">
        <v>94</v>
      </c>
      <c r="B95" s="13" t="s">
        <v>75</v>
      </c>
      <c r="C95" s="13">
        <v>2012</v>
      </c>
      <c r="D95" s="13" t="s">
        <v>220</v>
      </c>
      <c r="E95" s="13" t="s">
        <v>17</v>
      </c>
      <c r="F95" s="13" t="s">
        <v>78</v>
      </c>
      <c r="G95" s="20" t="s">
        <v>633</v>
      </c>
      <c r="H95" s="21">
        <v>0</v>
      </c>
      <c r="I95" s="14">
        <v>0</v>
      </c>
      <c r="J95" s="15">
        <v>0</v>
      </c>
      <c r="K95" s="30">
        <v>0</v>
      </c>
      <c r="L95" s="17">
        <v>0</v>
      </c>
      <c r="M95" s="23">
        <v>1</v>
      </c>
      <c r="N95" s="33">
        <v>0</v>
      </c>
      <c r="O95" s="64">
        <v>0</v>
      </c>
      <c r="P95" s="19">
        <v>0</v>
      </c>
      <c r="Q95" s="18">
        <v>0</v>
      </c>
      <c r="R95" s="62">
        <f t="shared" si="1"/>
        <v>0</v>
      </c>
      <c r="T95" s="37">
        <v>0</v>
      </c>
      <c r="U95" s="16">
        <v>0</v>
      </c>
      <c r="V95"/>
      <c r="W95"/>
      <c r="X95"/>
    </row>
    <row r="96" spans="1:24" x14ac:dyDescent="0.25">
      <c r="A96" s="13">
        <v>95</v>
      </c>
      <c r="B96" s="13" t="s">
        <v>175</v>
      </c>
      <c r="C96" s="13">
        <v>2001</v>
      </c>
      <c r="D96" s="13" t="s">
        <v>336</v>
      </c>
      <c r="E96" s="13" t="s">
        <v>112</v>
      </c>
      <c r="F96" s="13" t="s">
        <v>27</v>
      </c>
      <c r="G96" s="20" t="s">
        <v>743</v>
      </c>
      <c r="H96" s="21">
        <v>0</v>
      </c>
      <c r="I96" s="14">
        <v>0</v>
      </c>
      <c r="J96" s="15">
        <v>0</v>
      </c>
      <c r="K96" s="30">
        <v>0</v>
      </c>
      <c r="L96" s="17">
        <v>1</v>
      </c>
      <c r="M96" s="23">
        <v>0</v>
      </c>
      <c r="N96" s="33">
        <v>1</v>
      </c>
      <c r="O96" s="64">
        <v>0</v>
      </c>
      <c r="P96" s="19">
        <v>0</v>
      </c>
      <c r="Q96" s="18">
        <v>0</v>
      </c>
      <c r="R96" s="62">
        <f t="shared" si="1"/>
        <v>0</v>
      </c>
      <c r="T96" s="37">
        <v>0</v>
      </c>
      <c r="U96" s="16">
        <v>0</v>
      </c>
      <c r="V96"/>
      <c r="W96"/>
      <c r="X96"/>
    </row>
    <row r="97" spans="1:24" x14ac:dyDescent="0.25">
      <c r="A97" s="13">
        <v>96</v>
      </c>
      <c r="B97" s="13" t="s">
        <v>97</v>
      </c>
      <c r="C97" s="13">
        <v>2006</v>
      </c>
      <c r="D97" s="13" t="s">
        <v>99</v>
      </c>
      <c r="E97" s="13" t="s">
        <v>74</v>
      </c>
      <c r="F97" s="13" t="s">
        <v>28</v>
      </c>
      <c r="G97" s="20" t="s">
        <v>635</v>
      </c>
      <c r="H97" s="21">
        <v>1</v>
      </c>
      <c r="I97" s="14">
        <v>0</v>
      </c>
      <c r="J97" s="15">
        <v>0</v>
      </c>
      <c r="K97" s="30">
        <v>0</v>
      </c>
      <c r="L97" s="17">
        <v>0</v>
      </c>
      <c r="M97" s="23">
        <v>0</v>
      </c>
      <c r="N97" s="33">
        <v>0</v>
      </c>
      <c r="O97" s="64">
        <v>1</v>
      </c>
      <c r="P97" s="19">
        <v>0</v>
      </c>
      <c r="Q97" s="18">
        <v>0</v>
      </c>
      <c r="R97" s="62">
        <f t="shared" si="1"/>
        <v>0</v>
      </c>
      <c r="T97" s="37">
        <v>0</v>
      </c>
      <c r="U97" s="16">
        <v>0</v>
      </c>
      <c r="V97"/>
      <c r="W97"/>
      <c r="X97"/>
    </row>
    <row r="98" spans="1:24" x14ac:dyDescent="0.25">
      <c r="A98" s="13">
        <v>97</v>
      </c>
      <c r="B98" s="13" t="s">
        <v>97</v>
      </c>
      <c r="C98" s="13">
        <v>2010</v>
      </c>
      <c r="D98" s="13" t="s">
        <v>99</v>
      </c>
      <c r="E98" s="13" t="s">
        <v>74</v>
      </c>
      <c r="F98" s="13" t="s">
        <v>28</v>
      </c>
      <c r="G98" s="20" t="s">
        <v>744</v>
      </c>
      <c r="H98" s="21">
        <v>1</v>
      </c>
      <c r="I98" s="14">
        <v>0</v>
      </c>
      <c r="J98" s="15">
        <v>0</v>
      </c>
      <c r="K98" s="30">
        <v>0</v>
      </c>
      <c r="L98" s="17">
        <v>0</v>
      </c>
      <c r="M98" s="23">
        <v>0</v>
      </c>
      <c r="N98" s="33">
        <v>1</v>
      </c>
      <c r="O98" s="64">
        <v>0</v>
      </c>
      <c r="P98" s="19">
        <v>0</v>
      </c>
      <c r="Q98" s="18">
        <v>0</v>
      </c>
      <c r="R98" s="62">
        <f t="shared" si="1"/>
        <v>1</v>
      </c>
      <c r="T98" s="37">
        <v>0</v>
      </c>
      <c r="U98" s="16">
        <v>1</v>
      </c>
      <c r="V98"/>
      <c r="W98"/>
      <c r="X98"/>
    </row>
    <row r="99" spans="1:24" x14ac:dyDescent="0.25">
      <c r="A99" s="13">
        <v>98</v>
      </c>
      <c r="B99" s="13" t="s">
        <v>217</v>
      </c>
      <c r="C99" s="13">
        <v>2004</v>
      </c>
      <c r="D99" s="13" t="s">
        <v>218</v>
      </c>
      <c r="E99" s="13" t="s">
        <v>74</v>
      </c>
      <c r="F99" s="13" t="s">
        <v>78</v>
      </c>
      <c r="G99" s="20" t="s">
        <v>621</v>
      </c>
      <c r="H99" s="21">
        <v>1</v>
      </c>
      <c r="I99" s="14">
        <v>0</v>
      </c>
      <c r="J99" s="15">
        <v>1</v>
      </c>
      <c r="K99" s="30">
        <v>0</v>
      </c>
      <c r="L99" s="17">
        <v>0</v>
      </c>
      <c r="M99" s="23">
        <v>0</v>
      </c>
      <c r="N99" s="33">
        <v>0</v>
      </c>
      <c r="O99" s="64">
        <v>0</v>
      </c>
      <c r="P99" s="19">
        <v>0</v>
      </c>
      <c r="Q99" s="18">
        <v>0</v>
      </c>
      <c r="R99" s="62">
        <f t="shared" si="1"/>
        <v>0</v>
      </c>
      <c r="T99" s="37">
        <v>0</v>
      </c>
      <c r="U99" s="16">
        <v>0</v>
      </c>
      <c r="V99"/>
      <c r="W99"/>
      <c r="X99"/>
    </row>
    <row r="100" spans="1:24" x14ac:dyDescent="0.25">
      <c r="A100" s="13">
        <v>99</v>
      </c>
      <c r="B100" s="13" t="s">
        <v>262</v>
      </c>
      <c r="C100" s="13">
        <v>2011</v>
      </c>
      <c r="D100" s="13" t="s">
        <v>263</v>
      </c>
      <c r="E100" s="13" t="s">
        <v>74</v>
      </c>
      <c r="F100" s="13" t="s">
        <v>78</v>
      </c>
      <c r="G100" s="20" t="s">
        <v>681</v>
      </c>
      <c r="H100" s="21">
        <v>0</v>
      </c>
      <c r="I100" s="14">
        <v>0</v>
      </c>
      <c r="J100" s="15">
        <v>0</v>
      </c>
      <c r="K100" s="30">
        <v>1</v>
      </c>
      <c r="L100" s="17">
        <v>1</v>
      </c>
      <c r="M100" s="23">
        <v>0</v>
      </c>
      <c r="N100" s="33">
        <v>0</v>
      </c>
      <c r="O100" s="64">
        <v>0</v>
      </c>
      <c r="P100" s="19">
        <v>0</v>
      </c>
      <c r="Q100" s="18">
        <v>0</v>
      </c>
      <c r="R100" s="62">
        <f t="shared" si="1"/>
        <v>1</v>
      </c>
      <c r="T100" s="37">
        <v>0</v>
      </c>
      <c r="U100" s="16">
        <v>1</v>
      </c>
      <c r="V100"/>
      <c r="W100"/>
      <c r="X100"/>
    </row>
    <row r="101" spans="1:24" x14ac:dyDescent="0.25">
      <c r="A101" s="23">
        <v>100</v>
      </c>
      <c r="B101" s="23" t="s">
        <v>298</v>
      </c>
      <c r="C101" s="23">
        <v>2005</v>
      </c>
      <c r="D101" s="23" t="s">
        <v>287</v>
      </c>
      <c r="E101" s="23" t="s">
        <v>17</v>
      </c>
      <c r="F101" s="23" t="s">
        <v>28</v>
      </c>
      <c r="G101" s="24" t="s">
        <v>605</v>
      </c>
      <c r="H101" s="21">
        <v>0</v>
      </c>
      <c r="I101" s="14">
        <v>0</v>
      </c>
      <c r="J101" s="15">
        <v>0</v>
      </c>
      <c r="K101" s="30">
        <v>0</v>
      </c>
      <c r="L101" s="17">
        <v>0</v>
      </c>
      <c r="M101" s="23">
        <v>1</v>
      </c>
      <c r="N101" s="33">
        <v>0</v>
      </c>
      <c r="O101" s="64">
        <v>0</v>
      </c>
      <c r="P101" s="19">
        <v>0</v>
      </c>
      <c r="Q101" s="18">
        <v>0</v>
      </c>
      <c r="R101" s="62">
        <f t="shared" si="1"/>
        <v>0</v>
      </c>
      <c r="T101" s="37">
        <v>0</v>
      </c>
      <c r="U101" s="16">
        <v>0</v>
      </c>
      <c r="V101"/>
      <c r="W101"/>
      <c r="X101"/>
    </row>
    <row r="102" spans="1:24" x14ac:dyDescent="0.25">
      <c r="A102" s="13">
        <v>101</v>
      </c>
      <c r="B102" s="13" t="s">
        <v>211</v>
      </c>
      <c r="C102" s="13">
        <v>2011</v>
      </c>
      <c r="D102" s="13" t="s">
        <v>215</v>
      </c>
      <c r="E102" s="13" t="s">
        <v>74</v>
      </c>
      <c r="F102" s="13" t="s">
        <v>78</v>
      </c>
      <c r="G102" s="20" t="s">
        <v>622</v>
      </c>
      <c r="H102" s="21">
        <v>0</v>
      </c>
      <c r="I102" s="14">
        <v>1</v>
      </c>
      <c r="J102" s="15">
        <v>1</v>
      </c>
      <c r="K102" s="30">
        <v>0</v>
      </c>
      <c r="L102" s="17">
        <v>0</v>
      </c>
      <c r="M102" s="23">
        <v>0</v>
      </c>
      <c r="N102" s="33">
        <v>0</v>
      </c>
      <c r="O102" s="64">
        <v>0</v>
      </c>
      <c r="P102" s="19">
        <v>0</v>
      </c>
      <c r="Q102" s="18">
        <v>0</v>
      </c>
      <c r="R102" s="62">
        <f t="shared" si="1"/>
        <v>0</v>
      </c>
      <c r="T102" s="37">
        <v>0</v>
      </c>
      <c r="U102" s="16">
        <v>0</v>
      </c>
      <c r="V102"/>
      <c r="W102"/>
      <c r="X102"/>
    </row>
    <row r="103" spans="1:24" x14ac:dyDescent="0.25">
      <c r="A103" s="13">
        <v>102</v>
      </c>
      <c r="B103" s="13" t="s">
        <v>481</v>
      </c>
      <c r="C103" s="13">
        <v>2015</v>
      </c>
      <c r="D103" s="13" t="s">
        <v>482</v>
      </c>
      <c r="E103" s="13" t="s">
        <v>116</v>
      </c>
      <c r="F103" s="13" t="s">
        <v>28</v>
      </c>
      <c r="G103" s="20" t="s">
        <v>637</v>
      </c>
      <c r="H103" s="21">
        <v>1</v>
      </c>
      <c r="I103" s="14">
        <v>0</v>
      </c>
      <c r="J103" s="15">
        <v>0</v>
      </c>
      <c r="K103" s="30">
        <v>0</v>
      </c>
      <c r="L103" s="17">
        <v>1</v>
      </c>
      <c r="M103" s="23">
        <v>0</v>
      </c>
      <c r="N103" s="33">
        <v>0</v>
      </c>
      <c r="O103" s="64">
        <v>0</v>
      </c>
      <c r="P103" s="19">
        <v>0</v>
      </c>
      <c r="Q103" s="18">
        <v>0</v>
      </c>
      <c r="R103" s="62">
        <f t="shared" si="1"/>
        <v>0</v>
      </c>
      <c r="T103" s="37">
        <v>0</v>
      </c>
      <c r="U103" s="16">
        <v>0</v>
      </c>
      <c r="V103"/>
      <c r="W103"/>
      <c r="X103"/>
    </row>
    <row r="104" spans="1:24" x14ac:dyDescent="0.25">
      <c r="A104" s="13">
        <v>103</v>
      </c>
      <c r="B104" s="13" t="s">
        <v>278</v>
      </c>
      <c r="C104" s="13">
        <v>2013</v>
      </c>
      <c r="D104" s="13" t="s">
        <v>147</v>
      </c>
      <c r="E104" s="13" t="s">
        <v>17</v>
      </c>
      <c r="F104" s="13" t="s">
        <v>28</v>
      </c>
      <c r="G104" s="20" t="s">
        <v>640</v>
      </c>
      <c r="H104" s="21">
        <v>1</v>
      </c>
      <c r="I104" s="14">
        <v>1</v>
      </c>
      <c r="J104" s="15">
        <v>0</v>
      </c>
      <c r="K104" s="30">
        <v>1</v>
      </c>
      <c r="L104" s="17">
        <v>1</v>
      </c>
      <c r="M104" s="23">
        <v>0</v>
      </c>
      <c r="N104" s="33">
        <v>0</v>
      </c>
      <c r="O104" s="64">
        <v>0</v>
      </c>
      <c r="P104" s="19">
        <v>0</v>
      </c>
      <c r="Q104" s="18">
        <v>0</v>
      </c>
      <c r="R104" s="62">
        <f t="shared" si="1"/>
        <v>0</v>
      </c>
      <c r="T104" s="37">
        <v>0</v>
      </c>
      <c r="U104" s="16">
        <v>0</v>
      </c>
      <c r="V104"/>
      <c r="W104"/>
      <c r="X104"/>
    </row>
    <row r="105" spans="1:24" x14ac:dyDescent="0.25">
      <c r="A105" s="13">
        <v>104</v>
      </c>
      <c r="B105" s="13" t="s">
        <v>159</v>
      </c>
      <c r="C105" s="13">
        <v>2004</v>
      </c>
      <c r="D105" s="13" t="s">
        <v>160</v>
      </c>
      <c r="E105" s="13" t="s">
        <v>17</v>
      </c>
      <c r="F105" s="13" t="s">
        <v>219</v>
      </c>
      <c r="G105" s="20" t="s">
        <v>632</v>
      </c>
      <c r="H105" s="21">
        <v>0</v>
      </c>
      <c r="I105" s="14">
        <v>0</v>
      </c>
      <c r="J105" s="15">
        <v>1</v>
      </c>
      <c r="K105" s="30">
        <v>1</v>
      </c>
      <c r="L105" s="17">
        <v>0</v>
      </c>
      <c r="M105" s="23">
        <v>0</v>
      </c>
      <c r="N105" s="33">
        <v>0</v>
      </c>
      <c r="O105" s="64">
        <v>0</v>
      </c>
      <c r="P105" s="19">
        <v>0</v>
      </c>
      <c r="Q105" s="18">
        <v>0</v>
      </c>
      <c r="R105" s="62">
        <f t="shared" si="1"/>
        <v>0</v>
      </c>
      <c r="T105" s="37">
        <v>0</v>
      </c>
      <c r="U105" s="16">
        <v>0</v>
      </c>
      <c r="V105"/>
      <c r="W105"/>
      <c r="X105"/>
    </row>
    <row r="106" spans="1:24" x14ac:dyDescent="0.25">
      <c r="A106" s="13">
        <v>105</v>
      </c>
      <c r="B106" s="13" t="s">
        <v>277</v>
      </c>
      <c r="C106" s="13">
        <v>2013</v>
      </c>
      <c r="D106" s="13" t="s">
        <v>342</v>
      </c>
      <c r="E106" s="13" t="s">
        <v>180</v>
      </c>
      <c r="F106" s="13" t="s">
        <v>189</v>
      </c>
      <c r="G106" s="20" t="s">
        <v>617</v>
      </c>
      <c r="H106" s="21">
        <v>0</v>
      </c>
      <c r="I106" s="14">
        <v>0</v>
      </c>
      <c r="J106" s="15">
        <v>0</v>
      </c>
      <c r="K106" s="30">
        <v>0</v>
      </c>
      <c r="L106" s="17">
        <v>1</v>
      </c>
      <c r="M106" s="23">
        <v>0</v>
      </c>
      <c r="N106" s="33">
        <v>0</v>
      </c>
      <c r="O106" s="64">
        <v>0</v>
      </c>
      <c r="P106" s="19">
        <v>0</v>
      </c>
      <c r="Q106" s="18">
        <v>0</v>
      </c>
      <c r="R106" s="62">
        <f t="shared" si="1"/>
        <v>0</v>
      </c>
      <c r="T106" s="37">
        <v>0</v>
      </c>
      <c r="U106" s="16">
        <v>0</v>
      </c>
      <c r="V106"/>
      <c r="W106"/>
      <c r="X106"/>
    </row>
    <row r="107" spans="1:24" x14ac:dyDescent="0.25">
      <c r="A107" s="13">
        <v>106</v>
      </c>
      <c r="B107" s="13" t="s">
        <v>533</v>
      </c>
      <c r="C107" s="13">
        <v>2007</v>
      </c>
      <c r="D107" s="13" t="s">
        <v>491</v>
      </c>
      <c r="E107" s="13" t="s">
        <v>116</v>
      </c>
      <c r="F107" s="13" t="s">
        <v>28</v>
      </c>
      <c r="G107" s="20" t="s">
        <v>606</v>
      </c>
      <c r="H107" s="21">
        <v>0</v>
      </c>
      <c r="I107" s="14">
        <v>0</v>
      </c>
      <c r="J107" s="15">
        <v>0</v>
      </c>
      <c r="K107" s="30">
        <v>0</v>
      </c>
      <c r="L107" s="17">
        <v>0</v>
      </c>
      <c r="M107" s="23">
        <v>0</v>
      </c>
      <c r="N107" s="33">
        <v>0</v>
      </c>
      <c r="O107" s="64">
        <v>0</v>
      </c>
      <c r="P107" s="19">
        <v>1</v>
      </c>
      <c r="Q107" s="18">
        <v>0</v>
      </c>
      <c r="R107" s="62">
        <f t="shared" si="1"/>
        <v>0</v>
      </c>
      <c r="T107" s="37">
        <v>0</v>
      </c>
      <c r="U107" s="16">
        <v>0</v>
      </c>
      <c r="V107"/>
      <c r="W107"/>
      <c r="X107"/>
    </row>
    <row r="108" spans="1:24" x14ac:dyDescent="0.25">
      <c r="A108" s="13">
        <v>107</v>
      </c>
      <c r="B108" s="13" t="s">
        <v>163</v>
      </c>
      <c r="C108" s="13">
        <v>2001</v>
      </c>
      <c r="D108" s="13" t="s">
        <v>164</v>
      </c>
      <c r="E108" s="13" t="s">
        <v>230</v>
      </c>
      <c r="F108" s="13" t="s">
        <v>27</v>
      </c>
      <c r="G108" s="20" t="s">
        <v>617</v>
      </c>
      <c r="H108" s="21">
        <v>0</v>
      </c>
      <c r="I108" s="14">
        <v>0</v>
      </c>
      <c r="J108" s="15">
        <v>0</v>
      </c>
      <c r="K108" s="30">
        <v>0</v>
      </c>
      <c r="L108" s="17">
        <v>1</v>
      </c>
      <c r="M108" s="23">
        <v>0</v>
      </c>
      <c r="N108" s="33">
        <v>0</v>
      </c>
      <c r="O108" s="64">
        <v>0</v>
      </c>
      <c r="P108" s="19">
        <v>0</v>
      </c>
      <c r="Q108" s="18">
        <v>0</v>
      </c>
      <c r="R108" s="62">
        <f t="shared" si="1"/>
        <v>0</v>
      </c>
      <c r="T108" s="37">
        <v>0</v>
      </c>
      <c r="U108" s="16">
        <v>0</v>
      </c>
      <c r="V108"/>
      <c r="W108"/>
      <c r="X108"/>
    </row>
    <row r="109" spans="1:24" x14ac:dyDescent="0.25">
      <c r="A109" s="13">
        <v>108</v>
      </c>
      <c r="B109" s="13" t="s">
        <v>571</v>
      </c>
      <c r="C109" s="13">
        <v>2008</v>
      </c>
      <c r="D109" s="13" t="s">
        <v>548</v>
      </c>
      <c r="E109" s="13" t="s">
        <v>74</v>
      </c>
      <c r="F109" s="13" t="s">
        <v>28</v>
      </c>
      <c r="G109" s="20" t="s">
        <v>603</v>
      </c>
      <c r="H109" s="21">
        <v>0</v>
      </c>
      <c r="I109" s="14">
        <v>1</v>
      </c>
      <c r="J109" s="15">
        <v>0</v>
      </c>
      <c r="K109" s="30">
        <v>0</v>
      </c>
      <c r="L109" s="17">
        <v>0</v>
      </c>
      <c r="M109" s="23">
        <v>0</v>
      </c>
      <c r="N109" s="33">
        <v>0</v>
      </c>
      <c r="O109" s="64">
        <v>0</v>
      </c>
      <c r="P109" s="19">
        <v>0</v>
      </c>
      <c r="Q109" s="18">
        <v>0</v>
      </c>
      <c r="R109" s="62">
        <f t="shared" si="1"/>
        <v>0</v>
      </c>
      <c r="T109" s="37">
        <v>0</v>
      </c>
      <c r="U109" s="16">
        <v>0</v>
      </c>
      <c r="V109"/>
      <c r="W109"/>
      <c r="X109"/>
    </row>
    <row r="110" spans="1:24" x14ac:dyDescent="0.25">
      <c r="A110" s="13">
        <v>109</v>
      </c>
      <c r="B110" s="20" t="s">
        <v>107</v>
      </c>
      <c r="C110" s="13">
        <v>2001</v>
      </c>
      <c r="D110" s="13" t="s">
        <v>109</v>
      </c>
      <c r="E110" s="13" t="s">
        <v>74</v>
      </c>
      <c r="F110" s="13" t="s">
        <v>28</v>
      </c>
      <c r="G110" s="20" t="s">
        <v>606</v>
      </c>
      <c r="H110" s="21">
        <v>0</v>
      </c>
      <c r="I110" s="14">
        <v>0</v>
      </c>
      <c r="J110" s="15">
        <v>0</v>
      </c>
      <c r="K110" s="30">
        <v>0</v>
      </c>
      <c r="L110" s="17">
        <v>0</v>
      </c>
      <c r="M110" s="23">
        <v>0</v>
      </c>
      <c r="N110" s="33">
        <v>0</v>
      </c>
      <c r="O110" s="64">
        <v>0</v>
      </c>
      <c r="P110" s="19">
        <v>1</v>
      </c>
      <c r="Q110" s="18">
        <v>0</v>
      </c>
      <c r="R110" s="62">
        <f t="shared" si="1"/>
        <v>0</v>
      </c>
      <c r="T110" s="37">
        <v>0</v>
      </c>
      <c r="U110" s="16">
        <v>0</v>
      </c>
      <c r="V110"/>
      <c r="W110"/>
      <c r="X110"/>
    </row>
    <row r="111" spans="1:24" x14ac:dyDescent="0.25">
      <c r="A111" s="13">
        <v>110</v>
      </c>
      <c r="B111" s="13" t="s">
        <v>339</v>
      </c>
      <c r="C111" s="13">
        <v>2012</v>
      </c>
      <c r="D111" s="13" t="s">
        <v>295</v>
      </c>
      <c r="E111" s="13" t="s">
        <v>17</v>
      </c>
      <c r="F111" s="13" t="s">
        <v>219</v>
      </c>
      <c r="G111" s="20" t="s">
        <v>737</v>
      </c>
      <c r="H111" s="21">
        <v>1</v>
      </c>
      <c r="I111" s="14">
        <v>1</v>
      </c>
      <c r="J111" s="15">
        <v>1</v>
      </c>
      <c r="K111" s="30">
        <v>1</v>
      </c>
      <c r="L111" s="17">
        <v>1</v>
      </c>
      <c r="M111" s="23">
        <v>0</v>
      </c>
      <c r="N111" s="33">
        <v>0</v>
      </c>
      <c r="O111" s="64">
        <v>0</v>
      </c>
      <c r="P111" s="19">
        <v>0</v>
      </c>
      <c r="Q111" s="18">
        <v>0</v>
      </c>
      <c r="R111" s="62">
        <f t="shared" si="1"/>
        <v>0</v>
      </c>
      <c r="T111" s="37">
        <v>0</v>
      </c>
      <c r="U111" s="16">
        <v>0</v>
      </c>
      <c r="V111"/>
      <c r="W111"/>
      <c r="X111"/>
    </row>
    <row r="112" spans="1:24" x14ac:dyDescent="0.25">
      <c r="A112" s="13">
        <v>111</v>
      </c>
      <c r="B112" s="13" t="s">
        <v>34</v>
      </c>
      <c r="C112" s="13">
        <v>2011</v>
      </c>
      <c r="D112" s="13" t="s">
        <v>35</v>
      </c>
      <c r="E112" s="13" t="s">
        <v>30</v>
      </c>
      <c r="F112" s="13" t="s">
        <v>27</v>
      </c>
      <c r="G112" s="20" t="s">
        <v>605</v>
      </c>
      <c r="H112" s="21">
        <v>0</v>
      </c>
      <c r="I112" s="14">
        <v>0</v>
      </c>
      <c r="J112" s="15">
        <v>0</v>
      </c>
      <c r="K112" s="30">
        <v>0</v>
      </c>
      <c r="L112" s="17">
        <v>0</v>
      </c>
      <c r="M112" s="23">
        <v>1</v>
      </c>
      <c r="N112" s="33">
        <v>0</v>
      </c>
      <c r="O112" s="64">
        <v>0</v>
      </c>
      <c r="P112" s="19">
        <v>0</v>
      </c>
      <c r="Q112" s="18">
        <v>0</v>
      </c>
      <c r="R112" s="62">
        <f t="shared" si="1"/>
        <v>0</v>
      </c>
      <c r="T112" s="37">
        <v>0</v>
      </c>
      <c r="U112" s="16">
        <v>0</v>
      </c>
      <c r="V112"/>
      <c r="W112"/>
      <c r="X112"/>
    </row>
    <row r="113" spans="1:24" x14ac:dyDescent="0.25">
      <c r="A113" s="13">
        <v>112</v>
      </c>
      <c r="B113" s="13" t="s">
        <v>528</v>
      </c>
      <c r="C113" s="13">
        <v>2017</v>
      </c>
      <c r="D113" s="13" t="s">
        <v>529</v>
      </c>
      <c r="E113" s="13" t="s">
        <v>30</v>
      </c>
      <c r="F113" s="13" t="s">
        <v>27</v>
      </c>
      <c r="G113" s="20" t="s">
        <v>603</v>
      </c>
      <c r="H113" s="21">
        <v>0</v>
      </c>
      <c r="I113" s="14">
        <v>1</v>
      </c>
      <c r="J113" s="15">
        <v>0</v>
      </c>
      <c r="K113" s="30">
        <v>0</v>
      </c>
      <c r="L113" s="17">
        <v>0</v>
      </c>
      <c r="M113" s="23">
        <v>0</v>
      </c>
      <c r="N113" s="33">
        <v>0</v>
      </c>
      <c r="O113" s="64">
        <v>0</v>
      </c>
      <c r="P113" s="19">
        <v>0</v>
      </c>
      <c r="Q113" s="18">
        <v>0</v>
      </c>
      <c r="R113" s="62">
        <f t="shared" si="1"/>
        <v>0</v>
      </c>
      <c r="T113" s="37">
        <v>0</v>
      </c>
      <c r="U113" s="16">
        <v>0</v>
      </c>
      <c r="V113"/>
      <c r="W113"/>
      <c r="X113"/>
    </row>
    <row r="114" spans="1:24" x14ac:dyDescent="0.25">
      <c r="A114" s="13">
        <v>113</v>
      </c>
      <c r="B114" s="13" t="s">
        <v>12</v>
      </c>
      <c r="C114" s="13">
        <v>2005</v>
      </c>
      <c r="D114" s="13" t="s">
        <v>338</v>
      </c>
      <c r="E114" s="13" t="s">
        <v>17</v>
      </c>
      <c r="F114" s="13" t="s">
        <v>28</v>
      </c>
      <c r="G114" s="20" t="s">
        <v>712</v>
      </c>
      <c r="H114" s="21">
        <v>1</v>
      </c>
      <c r="I114" s="14">
        <v>0</v>
      </c>
      <c r="J114" s="15">
        <v>1</v>
      </c>
      <c r="K114" s="30">
        <v>1</v>
      </c>
      <c r="L114" s="17">
        <v>0</v>
      </c>
      <c r="M114" s="23">
        <v>0</v>
      </c>
      <c r="N114" s="33">
        <v>0</v>
      </c>
      <c r="O114" s="64">
        <v>0</v>
      </c>
      <c r="P114" s="19">
        <v>0</v>
      </c>
      <c r="Q114" s="18">
        <v>0</v>
      </c>
      <c r="R114" s="62">
        <f t="shared" si="1"/>
        <v>0</v>
      </c>
      <c r="T114" s="37">
        <v>0</v>
      </c>
      <c r="U114" s="16">
        <v>0</v>
      </c>
      <c r="V114"/>
      <c r="W114"/>
      <c r="X114"/>
    </row>
    <row r="115" spans="1:24" x14ac:dyDescent="0.25">
      <c r="A115" s="23">
        <v>114</v>
      </c>
      <c r="B115" s="23" t="s">
        <v>12</v>
      </c>
      <c r="C115" s="23">
        <v>2014</v>
      </c>
      <c r="D115" s="23" t="s">
        <v>301</v>
      </c>
      <c r="E115" s="23" t="s">
        <v>17</v>
      </c>
      <c r="F115" s="23" t="s">
        <v>28</v>
      </c>
      <c r="G115" s="24" t="s">
        <v>717</v>
      </c>
      <c r="H115" s="21">
        <v>1</v>
      </c>
      <c r="I115" s="14">
        <v>0</v>
      </c>
      <c r="J115" s="15">
        <v>1</v>
      </c>
      <c r="K115" s="30">
        <v>1</v>
      </c>
      <c r="L115" s="17">
        <v>0</v>
      </c>
      <c r="M115" s="23">
        <v>0</v>
      </c>
      <c r="N115" s="33">
        <v>0</v>
      </c>
      <c r="O115" s="64">
        <v>0</v>
      </c>
      <c r="P115" s="19">
        <v>0</v>
      </c>
      <c r="Q115" s="18">
        <v>0</v>
      </c>
      <c r="R115" s="62">
        <f t="shared" si="1"/>
        <v>0</v>
      </c>
      <c r="T115" s="37">
        <v>0</v>
      </c>
      <c r="U115" s="16">
        <v>0</v>
      </c>
      <c r="V115"/>
      <c r="W115"/>
      <c r="X115"/>
    </row>
    <row r="116" spans="1:24" x14ac:dyDescent="0.25">
      <c r="A116" s="13">
        <v>115</v>
      </c>
      <c r="B116" s="13" t="s">
        <v>511</v>
      </c>
      <c r="C116" s="13">
        <v>2013</v>
      </c>
      <c r="D116" s="13" t="s">
        <v>491</v>
      </c>
      <c r="E116" s="13" t="s">
        <v>116</v>
      </c>
      <c r="F116" s="13" t="s">
        <v>28</v>
      </c>
      <c r="G116" s="20" t="s">
        <v>605</v>
      </c>
      <c r="H116" s="21">
        <v>0</v>
      </c>
      <c r="I116" s="14">
        <v>0</v>
      </c>
      <c r="J116" s="15">
        <v>0</v>
      </c>
      <c r="K116" s="30">
        <v>0</v>
      </c>
      <c r="L116" s="17">
        <v>0</v>
      </c>
      <c r="M116" s="23">
        <v>1</v>
      </c>
      <c r="N116" s="33">
        <v>1</v>
      </c>
      <c r="O116" s="64">
        <v>0</v>
      </c>
      <c r="P116" s="19">
        <v>0</v>
      </c>
      <c r="Q116" s="18">
        <v>0</v>
      </c>
      <c r="R116" s="62">
        <f t="shared" si="1"/>
        <v>0</v>
      </c>
      <c r="T116" s="37">
        <v>0</v>
      </c>
      <c r="U116" s="16">
        <v>0</v>
      </c>
      <c r="V116"/>
      <c r="W116"/>
      <c r="X116"/>
    </row>
    <row r="117" spans="1:24" x14ac:dyDescent="0.25">
      <c r="A117" s="27">
        <v>116</v>
      </c>
      <c r="B117" s="22" t="s">
        <v>279</v>
      </c>
      <c r="C117" s="22">
        <v>2007</v>
      </c>
      <c r="D117" s="22" t="s">
        <v>280</v>
      </c>
      <c r="E117" s="22" t="s">
        <v>17</v>
      </c>
      <c r="F117" s="22" t="s">
        <v>231</v>
      </c>
      <c r="G117" s="28" t="s">
        <v>622</v>
      </c>
      <c r="H117" s="21">
        <v>0</v>
      </c>
      <c r="I117" s="14">
        <v>1</v>
      </c>
      <c r="J117" s="15">
        <v>1</v>
      </c>
      <c r="K117" s="30">
        <v>0</v>
      </c>
      <c r="L117" s="17">
        <v>0</v>
      </c>
      <c r="M117" s="23">
        <v>0</v>
      </c>
      <c r="N117" s="33">
        <v>0</v>
      </c>
      <c r="O117" s="64">
        <v>0</v>
      </c>
      <c r="P117" s="19">
        <v>0</v>
      </c>
      <c r="Q117" s="18">
        <v>0</v>
      </c>
      <c r="R117" s="62">
        <f t="shared" si="1"/>
        <v>0</v>
      </c>
      <c r="T117" s="37">
        <v>0</v>
      </c>
      <c r="U117" s="16">
        <v>0</v>
      </c>
      <c r="V117"/>
      <c r="W117"/>
      <c r="X117"/>
    </row>
    <row r="118" spans="1:24" x14ac:dyDescent="0.25">
      <c r="A118" s="27">
        <v>117</v>
      </c>
      <c r="B118" s="22" t="s">
        <v>279</v>
      </c>
      <c r="C118" s="22">
        <v>2017</v>
      </c>
      <c r="D118" s="22" t="s">
        <v>280</v>
      </c>
      <c r="E118" s="22" t="s">
        <v>17</v>
      </c>
      <c r="F118" s="22" t="s">
        <v>231</v>
      </c>
      <c r="G118" s="28" t="s">
        <v>617</v>
      </c>
      <c r="H118" s="21">
        <v>0</v>
      </c>
      <c r="I118" s="14">
        <v>0</v>
      </c>
      <c r="J118" s="15">
        <v>0</v>
      </c>
      <c r="K118" s="30">
        <v>0</v>
      </c>
      <c r="L118" s="17">
        <v>1</v>
      </c>
      <c r="M118" s="23">
        <v>0</v>
      </c>
      <c r="N118" s="33">
        <v>0</v>
      </c>
      <c r="O118" s="64">
        <v>0</v>
      </c>
      <c r="P118" s="19">
        <v>0</v>
      </c>
      <c r="Q118" s="18">
        <v>0</v>
      </c>
      <c r="R118" s="62">
        <f t="shared" si="1"/>
        <v>0</v>
      </c>
      <c r="T118" s="37">
        <v>0</v>
      </c>
      <c r="U118" s="16">
        <v>0</v>
      </c>
      <c r="V118"/>
      <c r="W118"/>
      <c r="X118"/>
    </row>
    <row r="119" spans="1:24" x14ac:dyDescent="0.25">
      <c r="A119" s="13">
        <v>118</v>
      </c>
      <c r="B119" s="13" t="s">
        <v>444</v>
      </c>
      <c r="C119" s="13">
        <v>2005</v>
      </c>
      <c r="D119" s="13" t="s">
        <v>464</v>
      </c>
      <c r="E119" s="13" t="s">
        <v>180</v>
      </c>
      <c r="F119" s="13" t="s">
        <v>189</v>
      </c>
      <c r="G119" s="20" t="s">
        <v>607</v>
      </c>
      <c r="H119" s="21">
        <v>1</v>
      </c>
      <c r="I119" s="14">
        <v>0</v>
      </c>
      <c r="J119" s="15">
        <v>0</v>
      </c>
      <c r="K119" s="30">
        <v>0</v>
      </c>
      <c r="L119" s="17">
        <v>0</v>
      </c>
      <c r="M119" s="23">
        <v>0</v>
      </c>
      <c r="N119" s="33">
        <v>0</v>
      </c>
      <c r="O119" s="64">
        <v>0</v>
      </c>
      <c r="P119" s="19">
        <v>0</v>
      </c>
      <c r="Q119" s="18">
        <v>0</v>
      </c>
      <c r="R119" s="62">
        <f t="shared" si="1"/>
        <v>0</v>
      </c>
      <c r="T119" s="37">
        <v>0</v>
      </c>
      <c r="U119" s="16">
        <v>0</v>
      </c>
      <c r="V119"/>
      <c r="W119"/>
      <c r="X119"/>
    </row>
    <row r="120" spans="1:24" x14ac:dyDescent="0.25">
      <c r="A120" s="13">
        <v>119</v>
      </c>
      <c r="B120" s="13" t="s">
        <v>495</v>
      </c>
      <c r="C120" s="13">
        <v>2015</v>
      </c>
      <c r="D120" s="13" t="s">
        <v>497</v>
      </c>
      <c r="E120" s="13" t="s">
        <v>17</v>
      </c>
      <c r="F120" s="13" t="s">
        <v>28</v>
      </c>
      <c r="G120" s="20" t="s">
        <v>621</v>
      </c>
      <c r="H120" s="21">
        <v>1</v>
      </c>
      <c r="I120" s="14">
        <v>0</v>
      </c>
      <c r="J120" s="15">
        <v>1</v>
      </c>
      <c r="K120" s="30">
        <v>0</v>
      </c>
      <c r="L120" s="17">
        <v>0</v>
      </c>
      <c r="M120" s="23">
        <v>0</v>
      </c>
      <c r="N120" s="33">
        <v>0</v>
      </c>
      <c r="O120" s="64">
        <v>0</v>
      </c>
      <c r="P120" s="19">
        <v>0</v>
      </c>
      <c r="Q120" s="18">
        <v>0</v>
      </c>
      <c r="R120" s="62">
        <f t="shared" si="1"/>
        <v>0</v>
      </c>
      <c r="T120" s="37">
        <v>0</v>
      </c>
      <c r="U120" s="16">
        <v>0</v>
      </c>
      <c r="V120"/>
      <c r="W120"/>
      <c r="X120"/>
    </row>
    <row r="121" spans="1:24" x14ac:dyDescent="0.25">
      <c r="A121" s="13">
        <v>120</v>
      </c>
      <c r="B121" s="13" t="s">
        <v>535</v>
      </c>
      <c r="C121" s="13">
        <v>2020</v>
      </c>
      <c r="D121" s="13" t="s">
        <v>536</v>
      </c>
      <c r="E121" s="13" t="s">
        <v>180</v>
      </c>
      <c r="F121" s="13" t="s">
        <v>28</v>
      </c>
      <c r="G121" s="20" t="s">
        <v>648</v>
      </c>
      <c r="H121" s="21">
        <v>0</v>
      </c>
      <c r="I121" s="14">
        <v>1</v>
      </c>
      <c r="J121" s="15">
        <v>0</v>
      </c>
      <c r="K121" s="30">
        <v>1</v>
      </c>
      <c r="L121" s="17">
        <v>1</v>
      </c>
      <c r="M121" s="23">
        <v>0</v>
      </c>
      <c r="N121" s="33">
        <v>0</v>
      </c>
      <c r="O121" s="64">
        <v>0</v>
      </c>
      <c r="P121" s="19">
        <v>0</v>
      </c>
      <c r="Q121" s="18">
        <v>0</v>
      </c>
      <c r="R121" s="62">
        <f t="shared" si="1"/>
        <v>0</v>
      </c>
      <c r="T121" s="37">
        <v>0</v>
      </c>
      <c r="U121" s="16">
        <v>0</v>
      </c>
      <c r="V121"/>
      <c r="W121"/>
      <c r="X121"/>
    </row>
    <row r="122" spans="1:24" x14ac:dyDescent="0.25">
      <c r="A122" s="13">
        <v>121</v>
      </c>
      <c r="B122" s="13" t="s">
        <v>125</v>
      </c>
      <c r="C122" s="13">
        <v>2005</v>
      </c>
      <c r="D122" s="13" t="s">
        <v>337</v>
      </c>
      <c r="E122" s="13" t="s">
        <v>74</v>
      </c>
      <c r="F122" s="13" t="s">
        <v>189</v>
      </c>
      <c r="G122" s="20" t="s">
        <v>603</v>
      </c>
      <c r="H122" s="21">
        <v>0</v>
      </c>
      <c r="I122" s="14">
        <v>1</v>
      </c>
      <c r="J122" s="15">
        <v>0</v>
      </c>
      <c r="K122" s="30">
        <v>0</v>
      </c>
      <c r="L122" s="17">
        <v>0</v>
      </c>
      <c r="M122" s="23">
        <v>0</v>
      </c>
      <c r="N122" s="33">
        <v>0</v>
      </c>
      <c r="O122" s="64">
        <v>0</v>
      </c>
      <c r="P122" s="19">
        <v>0</v>
      </c>
      <c r="Q122" s="18">
        <v>0</v>
      </c>
      <c r="R122" s="62">
        <f t="shared" si="1"/>
        <v>0</v>
      </c>
      <c r="T122" s="37">
        <v>0</v>
      </c>
      <c r="U122" s="16">
        <v>0</v>
      </c>
      <c r="V122"/>
      <c r="W122"/>
      <c r="X122"/>
    </row>
    <row r="123" spans="1:24" x14ac:dyDescent="0.25">
      <c r="A123" s="23">
        <v>122</v>
      </c>
      <c r="B123" s="23" t="s">
        <v>125</v>
      </c>
      <c r="C123" s="23">
        <v>2007</v>
      </c>
      <c r="D123" s="23" t="s">
        <v>337</v>
      </c>
      <c r="E123" s="23" t="s">
        <v>74</v>
      </c>
      <c r="F123" s="23" t="s">
        <v>189</v>
      </c>
      <c r="G123" s="24" t="s">
        <v>603</v>
      </c>
      <c r="H123" s="21">
        <v>0</v>
      </c>
      <c r="I123" s="14">
        <v>1</v>
      </c>
      <c r="J123" s="15">
        <v>0</v>
      </c>
      <c r="K123" s="30">
        <v>0</v>
      </c>
      <c r="L123" s="17">
        <v>0</v>
      </c>
      <c r="M123" s="23">
        <v>0</v>
      </c>
      <c r="N123" s="33">
        <v>0</v>
      </c>
      <c r="O123" s="64">
        <v>0</v>
      </c>
      <c r="P123" s="19">
        <v>0</v>
      </c>
      <c r="Q123" s="18">
        <v>0</v>
      </c>
      <c r="R123" s="62">
        <f t="shared" si="1"/>
        <v>0</v>
      </c>
      <c r="T123" s="37">
        <v>0</v>
      </c>
      <c r="U123" s="16">
        <v>0</v>
      </c>
      <c r="V123"/>
      <c r="W123"/>
      <c r="X123"/>
    </row>
    <row r="124" spans="1:24" x14ac:dyDescent="0.25">
      <c r="A124" s="13">
        <v>123</v>
      </c>
      <c r="B124" s="13" t="s">
        <v>125</v>
      </c>
      <c r="C124" s="13">
        <v>2009</v>
      </c>
      <c r="D124" s="13" t="s">
        <v>337</v>
      </c>
      <c r="E124" s="13" t="s">
        <v>74</v>
      </c>
      <c r="F124" s="13" t="s">
        <v>189</v>
      </c>
      <c r="G124" s="20" t="s">
        <v>651</v>
      </c>
      <c r="H124" s="21">
        <v>0</v>
      </c>
      <c r="I124" s="14">
        <v>0</v>
      </c>
      <c r="J124" s="15">
        <v>0</v>
      </c>
      <c r="K124" s="30">
        <v>0</v>
      </c>
      <c r="L124" s="17">
        <v>0</v>
      </c>
      <c r="M124" s="23">
        <v>0</v>
      </c>
      <c r="N124" s="33">
        <v>0</v>
      </c>
      <c r="O124" s="64">
        <v>0</v>
      </c>
      <c r="P124" s="19">
        <v>0</v>
      </c>
      <c r="Q124" s="18">
        <v>1</v>
      </c>
      <c r="R124" s="62">
        <f t="shared" si="1"/>
        <v>0</v>
      </c>
      <c r="T124" s="37">
        <v>0</v>
      </c>
      <c r="U124" s="16">
        <v>0</v>
      </c>
      <c r="V124"/>
      <c r="W124"/>
      <c r="X124"/>
    </row>
    <row r="125" spans="1:24" x14ac:dyDescent="0.25">
      <c r="A125" s="38">
        <v>124</v>
      </c>
      <c r="B125" s="38" t="s">
        <v>169</v>
      </c>
      <c r="C125" s="38">
        <v>2009</v>
      </c>
      <c r="D125" s="38" t="s">
        <v>171</v>
      </c>
      <c r="E125" s="38" t="s">
        <v>30</v>
      </c>
      <c r="F125" s="38" t="s">
        <v>27</v>
      </c>
      <c r="G125" s="20" t="s">
        <v>606</v>
      </c>
      <c r="H125" s="39">
        <v>0</v>
      </c>
      <c r="I125" s="40">
        <v>0</v>
      </c>
      <c r="J125" s="41">
        <v>0</v>
      </c>
      <c r="K125" s="43">
        <v>0</v>
      </c>
      <c r="L125" s="44">
        <v>0</v>
      </c>
      <c r="M125" s="47">
        <v>0</v>
      </c>
      <c r="N125" s="46">
        <v>0</v>
      </c>
      <c r="O125" s="65">
        <v>0</v>
      </c>
      <c r="P125" s="48">
        <v>1</v>
      </c>
      <c r="Q125" s="45">
        <v>0</v>
      </c>
      <c r="R125" s="62">
        <f ca="1">SUM(Q125:T125)</f>
        <v>0</v>
      </c>
      <c r="T125" s="49">
        <v>0</v>
      </c>
      <c r="U125" s="42">
        <v>0</v>
      </c>
      <c r="V125"/>
      <c r="W125"/>
      <c r="X125"/>
    </row>
    <row r="127" spans="1:24" x14ac:dyDescent="0.25">
      <c r="H127" s="50">
        <f>SUM(H2:H125)</f>
        <v>52</v>
      </c>
      <c r="I127" s="50">
        <f>SUM(I2:I125)</f>
        <v>47</v>
      </c>
      <c r="J127" s="50">
        <f t="shared" ref="J127:T127" si="2">SUM(J2:J125)</f>
        <v>35</v>
      </c>
      <c r="K127" s="50">
        <f t="shared" si="2"/>
        <v>33</v>
      </c>
      <c r="L127" s="50">
        <f t="shared" si="2"/>
        <v>23</v>
      </c>
      <c r="M127" s="50">
        <f t="shared" ref="M127:R127" si="3">SUM(M2:M125)</f>
        <v>12</v>
      </c>
      <c r="N127" s="50">
        <f t="shared" si="3"/>
        <v>11</v>
      </c>
      <c r="O127" s="50">
        <f t="shared" si="3"/>
        <v>8</v>
      </c>
      <c r="P127" s="50">
        <f t="shared" si="3"/>
        <v>7</v>
      </c>
      <c r="Q127" s="50">
        <f t="shared" si="3"/>
        <v>6</v>
      </c>
      <c r="R127" s="50">
        <f t="shared" ca="1" si="3"/>
        <v>8</v>
      </c>
      <c r="T127" s="50">
        <f t="shared" si="2"/>
        <v>4</v>
      </c>
      <c r="U127" s="50">
        <f>SUM(U2:U125)</f>
        <v>4</v>
      </c>
    </row>
  </sheetData>
  <autoFilter ref="A1:X125" xr:uid="{4A5772B6-064D-45BE-A42A-53D0AD546609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Supp_1</vt:lpstr>
      <vt:lpstr>Factors_adressed</vt:lpstr>
    </vt:vector>
  </TitlesOfParts>
  <Company>University of Aberdeen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Aurore Ponchon</dc:creator>
  <cp:lastModifiedBy>Aurore PONCHON</cp:lastModifiedBy>
  <dcterms:created xsi:type="dcterms:W3CDTF">2021-12-02T11:54:14Z</dcterms:created>
  <dcterms:modified xsi:type="dcterms:W3CDTF">2025-12-02T11:21:08Z</dcterms:modified>
</cp:coreProperties>
</file>